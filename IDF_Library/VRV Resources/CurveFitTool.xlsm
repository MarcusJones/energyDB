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14805" windowHeight="8010" activeTab="3"/>
  </bookViews>
  <sheets>
    <sheet name="INSTRUCTION" sheetId="1" r:id="rId1"/>
    <sheet name="INPUT" sheetId="2" r:id="rId2"/>
    <sheet name="OUTPUT" sheetId="3" r:id="rId3"/>
    <sheet name="PLRatio" sheetId="4" r:id="rId4"/>
  </sheets>
  <functionGroups builtInGroupCount="17"/>
  <externalReferences>
    <externalReference r:id="rId5"/>
    <externalReference r:id="rId6"/>
  </externalReferences>
  <definedNames>
    <definedName name="AHRIfan">[2]Reference!$B$108</definedName>
    <definedName name="AHRIfan2">[2]Reference!$F$108</definedName>
    <definedName name="AirSysRowCol">[2]ObjSumm!$AS$4:$AV$23</definedName>
    <definedName name="BaseAHUData">[2]DataSumm!$A$9:$AO$28</definedName>
    <definedName name="BaseBdData">[2]DataSumm!$U$166:$X$201</definedName>
    <definedName name="BaselineSystems">[2]Reference!$A$13:$F$21</definedName>
    <definedName name="BaseRacks">[2]DataSumm!$AI$366:$AI$373</definedName>
    <definedName name="BaseSys1">[2]Narrative!$O$3:$W$7</definedName>
    <definedName name="BaseSys2">[2]Narrative!$O$8:$W$12</definedName>
    <definedName name="BaseSys3">[2]Narrative!$O$13:$W$18</definedName>
    <definedName name="BaseSys4">[2]Narrative!$O$19:$W$21</definedName>
    <definedName name="BaseSys5">[2]Narrative!$O$22:$W$27</definedName>
    <definedName name="BaseSys6">[2]Narrative!$O$28:$W$33</definedName>
    <definedName name="BTUH_PoolEvap">[2]SchedulesMisc!$G$47</definedName>
    <definedName name="CaseDataBase">[2]DataSumm!$A$353:$P$409</definedName>
    <definedName name="CaseDataProp">[2]DataSumm!$Q$353:$AG$409</definedName>
    <definedName name="CaseStyle">[2]DataSumm!$A$413:$A$418</definedName>
    <definedName name="CoolingCoil">INPUT!$B$13</definedName>
    <definedName name="CSLNames">[2]SysDef!$I$6:$J$1100</definedName>
    <definedName name="CurveObjName">INPUT!$B$8</definedName>
    <definedName name="CurveType">INPUT!$B$5</definedName>
    <definedName name="Densities">[2]Reference!$M$172:$V$186</definedName>
    <definedName name="DXCoilType">INPUT!$B$3</definedName>
    <definedName name="EconoType">#REF!</definedName>
    <definedName name="EFData">[2]DataSumm!$J$166:$S$196</definedName>
    <definedName name="EPCurveObjName">OUTPUT!$C$2</definedName>
    <definedName name="FirstZone">[2]Start!$A$3</definedName>
    <definedName name="GraphStartDay">[2]GraphData!$AA$15</definedName>
    <definedName name="HeatingCoil">INPUT!$B$13</definedName>
    <definedName name="IndVariables">INPUT!$B$4</definedName>
    <definedName name="maxZones">[2]Start!$C$23</definedName>
    <definedName name="MineffSys1">[2]Narrative!$P$3:$V$7</definedName>
    <definedName name="MineffSys2">[2]Narrative!$P$8:$V$12</definedName>
    <definedName name="MineffSys3">[2]Narrative!$P$13:$V$18</definedName>
    <definedName name="MineffSys4">[2]Narrative!$P$19:$V$21</definedName>
    <definedName name="MineffSys5">[2]Narrative!$P$22:$V$27</definedName>
    <definedName name="MineffSys6">[2]Narrative!$P$28:$V$33</definedName>
    <definedName name="MotorData">[2]Reference!$M$143:$U$164</definedName>
    <definedName name="NodeNames">[2]SysDef!$F$6:$G$607</definedName>
    <definedName name="NumberofAirSystems">[2]ObjSumm!$AT$24</definedName>
    <definedName name="NumberofPlantSystems">[2]ObjSumm!$AT$35</definedName>
    <definedName name="Occupancy">[2]Reference!$M$172:$M$186</definedName>
    <definedName name="PathName">OUTPUT!$C$3</definedName>
    <definedName name="PFPdeltaP">[2]Reference!$E$339</definedName>
    <definedName name="PFPwperCFM">[2]Reference!$B$339</definedName>
    <definedName name="PlantRowCol">[2]ObjSumm!$AO$28:$AR$37</definedName>
    <definedName name="_xlnm.Print_Area" localSheetId="3">PLRatio!$A$1:$K$41</definedName>
    <definedName name="PropAHUData">[2]DataSumm!$A$33:$AO$52</definedName>
    <definedName name="RatedCondition">INPUT!$B$11</definedName>
    <definedName name="RefBaseDSUM01">[2]DataSumm!$AJ$364:$AK$368</definedName>
    <definedName name="RefBaseDSUM02">[2]DataSumm!$AL$364:$AM$368</definedName>
    <definedName name="RefBaseDSUM03">[2]DataSumm!$AN$364:$AO$368</definedName>
    <definedName name="RefBaseDSUM04">[2]DataSumm!$AP$364:$AQ$368</definedName>
    <definedName name="RefBaseDSUM05">[2]DataSumm!$AR$364:$AS$368</definedName>
    <definedName name="RefBaseDSUM06">[2]DataSumm!$AT$364:$AU$368</definedName>
    <definedName name="RefBaseDSUM11">[2]DataSumm!$AV$364:$AW$368</definedName>
    <definedName name="RefBaseDSUM12">[2]DataSumm!$AX$364:$AY$368</definedName>
    <definedName name="RefBaseDSUM13">[2]DataSumm!$AZ$364:$BA$368</definedName>
    <definedName name="RefBaseDSUM14">[2]DataSumm!$BB$364:$BC$368</definedName>
    <definedName name="RefBaseDSUM15">[2]DataSumm!$BD$364:$BE$368</definedName>
    <definedName name="RefBaseDSUM16">[2]DataSumm!$BF$364:$BG$368</definedName>
    <definedName name="RefBaseDSUM17">[2]DataSumm!$BH$364:$BI$366</definedName>
    <definedName name="RefBaseDSUM18">[2]DataSumm!$BJ$364:$BK$366</definedName>
    <definedName name="RefBaseDSUM19">[2]DataSumm!$BL$364:$BM$366</definedName>
    <definedName name="RefBaseDSUM20">[2]DataSumm!$BN$364:$BO$366</definedName>
    <definedName name="RefPropDSUM01">[2]DataSumm!$AJ$371:$AK$375</definedName>
    <definedName name="RefPropDSUM02">[2]DataSumm!$AL$371:$AM$375</definedName>
    <definedName name="RefPropDSUM03">[2]DataSumm!$AN$371:$AO$375</definedName>
    <definedName name="RefPropDSUM04">[2]DataSumm!$AP$371:$AQ$375</definedName>
    <definedName name="RefPropDSUM05">[2]DataSumm!$AR$371:$AS$375</definedName>
    <definedName name="RefPropDSUM06">[2]DataSumm!$AT$371:$AU$375</definedName>
    <definedName name="RefPropDSUM11">[2]DataSumm!$AV$371:$AW$375</definedName>
    <definedName name="RefPropDSUM12">[2]DataSumm!$AX$371:$AY$375</definedName>
    <definedName name="RefPropDSUM13">[2]DataSumm!$AZ$371:$BA$375</definedName>
    <definedName name="RefPropDSUM14">[2]DataSumm!$BB$371:$BC$375</definedName>
    <definedName name="RefPropDSUM15">[2]DataSumm!$BD$371:$BE$375</definedName>
    <definedName name="RefPropDSUM16">[2]DataSumm!$BF$371:$BG$375</definedName>
    <definedName name="RefPropDSUM17">[2]DataSumm!$BH$371:$BI$373</definedName>
    <definedName name="RefPropDSUM18">[2]DataSumm!$BJ$371:$BK$373</definedName>
    <definedName name="RefPropDSUM19">[2]DataSumm!$BL$371:$BM$373</definedName>
    <definedName name="RefPropDSUM20">[2]DataSumm!$BN$371:$BO$373</definedName>
    <definedName name="SPhtg">[2]ScheduleInput!$AE$326</definedName>
    <definedName name="UnitsType">INPUT!$B$6</definedName>
    <definedName name="ZoneEquipData">[2]DataSumm!$A$83:$AB$104</definedName>
    <definedName name="ZoneNames">[2]Start!$A$3:$G$22</definedName>
  </definedNames>
  <calcPr calcId="145621" iterate="1"/>
</workbook>
</file>

<file path=xl/calcChain.xml><?xml version="1.0" encoding="utf-8"?>
<calcChain xmlns="http://schemas.openxmlformats.org/spreadsheetml/2006/main">
  <c r="C449" i="4" l="1"/>
  <c r="A449" i="4"/>
  <c r="B449" i="4" s="1"/>
  <c r="C448" i="4"/>
  <c r="B448" i="4"/>
  <c r="B445" i="4"/>
  <c r="A445" i="4"/>
  <c r="A446" i="4" s="1"/>
  <c r="C444" i="4"/>
  <c r="B444" i="4"/>
  <c r="D435" i="4"/>
  <c r="A427" i="4"/>
  <c r="A426" i="4"/>
  <c r="D425" i="4"/>
  <c r="C425" i="4"/>
  <c r="B425" i="4"/>
  <c r="C408" i="4"/>
  <c r="C407" i="4"/>
  <c r="C406" i="4"/>
  <c r="A406" i="4"/>
  <c r="D405" i="4"/>
  <c r="C405" i="4"/>
  <c r="A405" i="4"/>
  <c r="B405" i="4" s="1"/>
  <c r="C404" i="4"/>
  <c r="D404" i="4" s="1"/>
  <c r="B404" i="4"/>
  <c r="E396" i="4"/>
  <c r="F396" i="4" s="1"/>
  <c r="D396" i="4"/>
  <c r="C396" i="4"/>
  <c r="B396" i="4"/>
  <c r="B388" i="4"/>
  <c r="A388" i="4"/>
  <c r="B387" i="4"/>
  <c r="A387" i="4"/>
  <c r="C387" i="4" s="1"/>
  <c r="E386" i="4"/>
  <c r="D386" i="4"/>
  <c r="C386" i="4"/>
  <c r="B386" i="4"/>
  <c r="N377" i="4"/>
  <c r="M377" i="4"/>
  <c r="L377" i="4"/>
  <c r="K377" i="4"/>
  <c r="J377" i="4"/>
  <c r="I377" i="4"/>
  <c r="L375" i="4"/>
  <c r="K375" i="4"/>
  <c r="J375" i="4"/>
  <c r="I375" i="4"/>
  <c r="L373" i="4"/>
  <c r="K373" i="4"/>
  <c r="J373" i="4"/>
  <c r="I373" i="4"/>
  <c r="AU371" i="4"/>
  <c r="L371" i="4"/>
  <c r="K371" i="4"/>
  <c r="J371" i="4"/>
  <c r="I371" i="4"/>
  <c r="AV370" i="4"/>
  <c r="AU370" i="4"/>
  <c r="W370" i="4"/>
  <c r="A370" i="4"/>
  <c r="A371" i="4" s="1"/>
  <c r="B371" i="4" s="1"/>
  <c r="AV369" i="4"/>
  <c r="Y369" i="4"/>
  <c r="X369" i="4"/>
  <c r="N369" i="4"/>
  <c r="M369" i="4"/>
  <c r="L369" i="4"/>
  <c r="K369" i="4"/>
  <c r="J369" i="4"/>
  <c r="I369" i="4"/>
  <c r="B369" i="4"/>
  <c r="AB312" i="4"/>
  <c r="AA312" i="4"/>
  <c r="C312" i="4"/>
  <c r="B312" i="4"/>
  <c r="AB311" i="4"/>
  <c r="AA311" i="4"/>
  <c r="Z294" i="4" s="1"/>
  <c r="C311" i="4"/>
  <c r="B311" i="4"/>
  <c r="AQ310" i="4"/>
  <c r="AP310" i="4"/>
  <c r="AO310" i="4"/>
  <c r="AH308" i="4"/>
  <c r="I308" i="4"/>
  <c r="H293" i="4" s="1"/>
  <c r="AH307" i="4"/>
  <c r="AH293" i="4" s="1"/>
  <c r="I307" i="4"/>
  <c r="I293" i="4" s="1"/>
  <c r="AH306" i="4"/>
  <c r="I306" i="4"/>
  <c r="AH305" i="4"/>
  <c r="I305" i="4"/>
  <c r="K293" i="4" s="1"/>
  <c r="AH304" i="4"/>
  <c r="AK293" i="4" s="1"/>
  <c r="I304" i="4"/>
  <c r="L293" i="4" s="1"/>
  <c r="AH303" i="4"/>
  <c r="AL293" i="4" s="1"/>
  <c r="I303" i="4"/>
  <c r="M293" i="4" s="1"/>
  <c r="AP302" i="4"/>
  <c r="AO302" i="4"/>
  <c r="AN302" i="4"/>
  <c r="W301" i="4"/>
  <c r="V301" i="4"/>
  <c r="T301" i="4"/>
  <c r="AN299" i="4" s="1"/>
  <c r="AO299" i="4" s="1"/>
  <c r="S301" i="4"/>
  <c r="AN294" i="4" s="1"/>
  <c r="AA297" i="4"/>
  <c r="Z297" i="4"/>
  <c r="Z300" i="4" s="1"/>
  <c r="AA296" i="4"/>
  <c r="Z296" i="4"/>
  <c r="Z299" i="4" s="1"/>
  <c r="B296" i="4"/>
  <c r="A296" i="4"/>
  <c r="A299" i="4" s="1"/>
  <c r="Z295" i="4"/>
  <c r="AA295" i="4" s="1"/>
  <c r="B295" i="4"/>
  <c r="A295" i="4"/>
  <c r="AB294" i="4"/>
  <c r="AA294" i="4"/>
  <c r="C294" i="4"/>
  <c r="B294" i="4"/>
  <c r="A294" i="4"/>
  <c r="A297" i="4" s="1"/>
  <c r="AQ293" i="4"/>
  <c r="AN293" i="4"/>
  <c r="AJ293" i="4"/>
  <c r="AI293" i="4"/>
  <c r="AG293" i="4"/>
  <c r="AB293" i="4"/>
  <c r="Z293" i="4"/>
  <c r="J293" i="4"/>
  <c r="C293" i="4"/>
  <c r="A293" i="4"/>
  <c r="K302" i="4" s="1"/>
  <c r="AP292" i="4"/>
  <c r="AC292" i="4"/>
  <c r="D292" i="4"/>
  <c r="AL246" i="4"/>
  <c r="AK246" i="4"/>
  <c r="AH246" i="4"/>
  <c r="AF246" i="4"/>
  <c r="AE246" i="4"/>
  <c r="Z246" i="4"/>
  <c r="Y246" i="4"/>
  <c r="W246" i="4"/>
  <c r="V246" i="4"/>
  <c r="AL245" i="4"/>
  <c r="AK245" i="4"/>
  <c r="AI245" i="4"/>
  <c r="AH245" i="4"/>
  <c r="AF245" i="4"/>
  <c r="AE245" i="4"/>
  <c r="Z245" i="4"/>
  <c r="Y245" i="4"/>
  <c r="W245" i="4"/>
  <c r="V245" i="4"/>
  <c r="AI244" i="4"/>
  <c r="AI246" i="4" s="1"/>
  <c r="AH244" i="4"/>
  <c r="C240" i="4"/>
  <c r="B240" i="4"/>
  <c r="C222" i="4" s="1"/>
  <c r="C225" i="4" s="1"/>
  <c r="C228" i="4" s="1"/>
  <c r="C239" i="4"/>
  <c r="A224" i="4" s="1"/>
  <c r="B239" i="4"/>
  <c r="I236" i="4"/>
  <c r="I235" i="4"/>
  <c r="I234" i="4"/>
  <c r="I233" i="4"/>
  <c r="AL232" i="4"/>
  <c r="AK232" i="4"/>
  <c r="AI232" i="4"/>
  <c r="AH232" i="4"/>
  <c r="AF232" i="4"/>
  <c r="AE232" i="4"/>
  <c r="W232" i="4"/>
  <c r="V232" i="4"/>
  <c r="I232" i="4"/>
  <c r="AL231" i="4"/>
  <c r="AK231" i="4"/>
  <c r="AI231" i="4"/>
  <c r="AH231" i="4"/>
  <c r="AF231" i="4"/>
  <c r="AE231" i="4"/>
  <c r="W231" i="4"/>
  <c r="V231" i="4"/>
  <c r="I231" i="4"/>
  <c r="AI230" i="4"/>
  <c r="AH230" i="4"/>
  <c r="C226" i="4"/>
  <c r="D225" i="4"/>
  <c r="A225" i="4"/>
  <c r="A222" i="4"/>
  <c r="M221" i="4"/>
  <c r="L221" i="4"/>
  <c r="K221" i="4"/>
  <c r="J221" i="4"/>
  <c r="I221" i="4"/>
  <c r="H221" i="4"/>
  <c r="C221" i="4"/>
  <c r="A221" i="4"/>
  <c r="D220" i="4"/>
  <c r="C184" i="4"/>
  <c r="B184" i="4"/>
  <c r="C183" i="4"/>
  <c r="B183" i="4"/>
  <c r="O180" i="4"/>
  <c r="F180" i="4"/>
  <c r="F179" i="4"/>
  <c r="F178" i="4"/>
  <c r="U177" i="4"/>
  <c r="U180" i="4" s="1"/>
  <c r="F177" i="4"/>
  <c r="F176" i="4"/>
  <c r="F175" i="4"/>
  <c r="F174" i="4"/>
  <c r="O173" i="4"/>
  <c r="O176" i="4" s="1"/>
  <c r="O179" i="4" s="1"/>
  <c r="F173" i="4"/>
  <c r="F172" i="4"/>
  <c r="A172" i="4"/>
  <c r="U171" i="4"/>
  <c r="U174" i="4" s="1"/>
  <c r="O171" i="4"/>
  <c r="O174" i="4" s="1"/>
  <c r="O177" i="4" s="1"/>
  <c r="F171" i="4"/>
  <c r="F170" i="4"/>
  <c r="U169" i="4"/>
  <c r="U172" i="4" s="1"/>
  <c r="U175" i="4" s="1"/>
  <c r="U178" i="4" s="1"/>
  <c r="S169" i="4"/>
  <c r="O169" i="4"/>
  <c r="O172" i="4" s="1"/>
  <c r="O175" i="4" s="1"/>
  <c r="O178" i="4" s="1"/>
  <c r="F169" i="4"/>
  <c r="D169" i="4"/>
  <c r="C169" i="4"/>
  <c r="U168" i="4"/>
  <c r="R168" i="4"/>
  <c r="O168" i="4"/>
  <c r="F168" i="4"/>
  <c r="A168" i="4"/>
  <c r="U167" i="4"/>
  <c r="U170" i="4" s="1"/>
  <c r="U173" i="4" s="1"/>
  <c r="U176" i="4" s="1"/>
  <c r="U179" i="4" s="1"/>
  <c r="S167" i="4"/>
  <c r="S168" i="4" s="1"/>
  <c r="O167" i="4"/>
  <c r="O170" i="4" s="1"/>
  <c r="F167" i="4"/>
  <c r="C167" i="4"/>
  <c r="C168" i="4" s="1"/>
  <c r="D168" i="4" s="1"/>
  <c r="Y166" i="4"/>
  <c r="V166" i="4"/>
  <c r="U166" i="4"/>
  <c r="S166" i="4"/>
  <c r="R166" i="4"/>
  <c r="R169" i="4" s="1"/>
  <c r="R172" i="4" s="1"/>
  <c r="R175" i="4" s="1"/>
  <c r="R178" i="4" s="1"/>
  <c r="P166" i="4"/>
  <c r="O166" i="4"/>
  <c r="F166" i="4"/>
  <c r="E166" i="4"/>
  <c r="C166" i="4"/>
  <c r="D166" i="4" s="1"/>
  <c r="A166" i="4"/>
  <c r="A169" i="4" s="1"/>
  <c r="C165" i="4"/>
  <c r="A165" i="4"/>
  <c r="A163" i="4"/>
  <c r="O132" i="4"/>
  <c r="N132" i="4"/>
  <c r="L132" i="4"/>
  <c r="K132" i="4"/>
  <c r="L68" i="4"/>
  <c r="K68" i="4"/>
  <c r="J68" i="4"/>
  <c r="J65" i="4"/>
  <c r="L64" i="4"/>
  <c r="K64" i="4"/>
  <c r="J64" i="4"/>
  <c r="L63" i="4"/>
  <c r="K63" i="4"/>
  <c r="J63" i="4"/>
  <c r="N63" i="4" s="1"/>
  <c r="M63" i="4" s="1"/>
  <c r="M62" i="4"/>
  <c r="J62" i="4"/>
  <c r="L61" i="4"/>
  <c r="G54" i="4"/>
  <c r="D54" i="4"/>
  <c r="A54" i="4"/>
  <c r="D51" i="4"/>
  <c r="D52" i="4" s="1"/>
  <c r="D53" i="4" s="1"/>
  <c r="D50" i="4"/>
  <c r="A50" i="4"/>
  <c r="A51" i="4" s="1"/>
  <c r="A52" i="4" s="1"/>
  <c r="A53" i="4" s="1"/>
  <c r="G49" i="4"/>
  <c r="G50" i="4" s="1"/>
  <c r="G51" i="4" s="1"/>
  <c r="G52" i="4" s="1"/>
  <c r="G53" i="4" s="1"/>
  <c r="D49" i="4"/>
  <c r="A49" i="4"/>
  <c r="K41" i="4"/>
  <c r="A40" i="4" s="1"/>
  <c r="C40" i="4" s="1"/>
  <c r="K40" i="4"/>
  <c r="A35" i="4" s="1"/>
  <c r="J40" i="4"/>
  <c r="D40" i="4"/>
  <c r="B40" i="4"/>
  <c r="J39" i="4"/>
  <c r="I39" i="4"/>
  <c r="D39" i="4"/>
  <c r="I38" i="4"/>
  <c r="D38" i="4"/>
  <c r="D37" i="4"/>
  <c r="D36" i="4"/>
  <c r="D35" i="4"/>
  <c r="C35" i="4"/>
  <c r="D34" i="4"/>
  <c r="A34" i="4"/>
  <c r="E33" i="4"/>
  <c r="G295" i="4" l="1"/>
  <c r="AN295" i="4"/>
  <c r="AP294" i="4"/>
  <c r="AO294" i="4"/>
  <c r="AQ294" i="4" s="1"/>
  <c r="Y169" i="4"/>
  <c r="Y167" i="4"/>
  <c r="Y168" i="4" s="1"/>
  <c r="A228" i="4"/>
  <c r="B225" i="4"/>
  <c r="G225" i="4" s="1"/>
  <c r="E225" i="4"/>
  <c r="C295" i="4"/>
  <c r="C296" i="4" s="1"/>
  <c r="D296" i="4" s="1"/>
  <c r="E294" i="4"/>
  <c r="G294" i="4" s="1"/>
  <c r="Z302" i="4"/>
  <c r="AA299" i="4"/>
  <c r="A223" i="4"/>
  <c r="B224" i="4"/>
  <c r="A227" i="4"/>
  <c r="K65" i="4"/>
  <c r="L65" i="4"/>
  <c r="J66" i="4"/>
  <c r="N68" i="4"/>
  <c r="M68" i="4" s="1"/>
  <c r="K232" i="4"/>
  <c r="K231" i="4"/>
  <c r="K230" i="4"/>
  <c r="B222" i="4"/>
  <c r="E222" i="4"/>
  <c r="C227" i="4"/>
  <c r="D227" i="4" s="1"/>
  <c r="D226" i="4"/>
  <c r="C229" i="4"/>
  <c r="C231" i="4"/>
  <c r="D228" i="4"/>
  <c r="Z303" i="4"/>
  <c r="AA300" i="4"/>
  <c r="A36" i="4"/>
  <c r="B35" i="4"/>
  <c r="A175" i="4"/>
  <c r="B172" i="4"/>
  <c r="E172" i="4"/>
  <c r="AP304" i="4"/>
  <c r="N64" i="4"/>
  <c r="M64" i="4" s="1"/>
  <c r="A171" i="4"/>
  <c r="A167" i="4"/>
  <c r="E168" i="4"/>
  <c r="B168" i="4"/>
  <c r="C297" i="4"/>
  <c r="AF295" i="4"/>
  <c r="B169" i="4"/>
  <c r="E169" i="4"/>
  <c r="AU372" i="4"/>
  <c r="AV371" i="4"/>
  <c r="B166" i="4"/>
  <c r="D167" i="4"/>
  <c r="R171" i="4"/>
  <c r="R174" i="4" s="1"/>
  <c r="R177" i="4" s="1"/>
  <c r="R180" i="4" s="1"/>
  <c r="R167" i="4"/>
  <c r="R170" i="4" s="1"/>
  <c r="R173" i="4" s="1"/>
  <c r="R176" i="4" s="1"/>
  <c r="R179" i="4" s="1"/>
  <c r="C172" i="4"/>
  <c r="C170" i="4"/>
  <c r="G222" i="4"/>
  <c r="B297" i="4"/>
  <c r="A300" i="4"/>
  <c r="E297" i="4"/>
  <c r="E295" i="4"/>
  <c r="A298" i="4"/>
  <c r="AD295" i="4"/>
  <c r="B299" i="4"/>
  <c r="A302" i="4"/>
  <c r="Z298" i="4"/>
  <c r="AP299" i="4"/>
  <c r="AD294" i="4"/>
  <c r="AF294" i="4" s="1"/>
  <c r="D427" i="4"/>
  <c r="E427" i="4" s="1"/>
  <c r="E425" i="4"/>
  <c r="D426" i="4"/>
  <c r="E426" i="4" s="1"/>
  <c r="P169" i="4"/>
  <c r="P167" i="4"/>
  <c r="P168" i="4" s="1"/>
  <c r="V169" i="4"/>
  <c r="V167" i="4"/>
  <c r="V168" i="4" s="1"/>
  <c r="S172" i="4"/>
  <c r="S170" i="4"/>
  <c r="S171" i="4" s="1"/>
  <c r="C223" i="4"/>
  <c r="C224" i="4" s="1"/>
  <c r="D224" i="4" s="1"/>
  <c r="K304" i="4"/>
  <c r="K303" i="4"/>
  <c r="AN304" i="4"/>
  <c r="AO304" i="4" s="1"/>
  <c r="AB295" i="4"/>
  <c r="AB296" i="4" s="1"/>
  <c r="AB297" i="4"/>
  <c r="AQ299" i="4"/>
  <c r="A372" i="4"/>
  <c r="Y370" i="4"/>
  <c r="W371" i="4"/>
  <c r="S370" i="4" s="1"/>
  <c r="L370" i="4" s="1"/>
  <c r="X370" i="4"/>
  <c r="Q370" i="4"/>
  <c r="J370" i="4" s="1"/>
  <c r="E296" i="4"/>
  <c r="G296" i="4" s="1"/>
  <c r="AJ303" i="4"/>
  <c r="D388" i="4"/>
  <c r="D387" i="4"/>
  <c r="E387" i="4" s="1"/>
  <c r="F387" i="4" s="1"/>
  <c r="D406" i="4"/>
  <c r="A407" i="4"/>
  <c r="B406" i="4"/>
  <c r="A447" i="4"/>
  <c r="C446" i="4"/>
  <c r="B446" i="4"/>
  <c r="AJ302" i="4"/>
  <c r="F386" i="4"/>
  <c r="A389" i="4"/>
  <c r="E388" i="4"/>
  <c r="F388" i="4" s="1"/>
  <c r="C388" i="4"/>
  <c r="A428" i="4"/>
  <c r="C427" i="4"/>
  <c r="B370" i="4"/>
  <c r="C426" i="4"/>
  <c r="B426" i="4"/>
  <c r="B427" i="4"/>
  <c r="C445" i="4"/>
  <c r="A450" i="4"/>
  <c r="M131" i="1"/>
  <c r="V131" i="1"/>
  <c r="T131" i="1"/>
  <c r="T244" i="1"/>
  <c r="L262" i="1"/>
  <c r="K262" i="1"/>
  <c r="I158" i="1"/>
  <c r="I159" i="1"/>
  <c r="J159" i="1"/>
  <c r="I160" i="1"/>
  <c r="J160" i="1"/>
  <c r="I161" i="1"/>
  <c r="J161" i="1"/>
  <c r="I162" i="1"/>
  <c r="J162" i="1"/>
  <c r="I163" i="1"/>
  <c r="J163" i="1"/>
  <c r="I164" i="1"/>
  <c r="J164" i="1"/>
  <c r="I165" i="1"/>
  <c r="J165" i="1"/>
  <c r="I166" i="1"/>
  <c r="J166" i="1"/>
  <c r="I167" i="1"/>
  <c r="J167" i="1"/>
  <c r="I168" i="1"/>
  <c r="J168" i="1"/>
  <c r="I169" i="1"/>
  <c r="J169" i="1"/>
  <c r="I170" i="1"/>
  <c r="J170" i="1"/>
  <c r="I171" i="1"/>
  <c r="J171" i="1"/>
  <c r="I172" i="1"/>
  <c r="J172" i="1"/>
  <c r="I173" i="1"/>
  <c r="J173" i="1"/>
  <c r="I174" i="1"/>
  <c r="J174" i="1"/>
  <c r="I175" i="1"/>
  <c r="J175" i="1"/>
  <c r="I176" i="1"/>
  <c r="J176" i="1"/>
  <c r="I177" i="1"/>
  <c r="J177" i="1"/>
  <c r="L159" i="1"/>
  <c r="L160" i="1"/>
  <c r="L161" i="1"/>
  <c r="L162" i="1"/>
  <c r="L163" i="1"/>
  <c r="L164" i="1"/>
  <c r="L165" i="1"/>
  <c r="L166" i="1"/>
  <c r="L167" i="1"/>
  <c r="L168" i="1"/>
  <c r="L169" i="1"/>
  <c r="L170" i="1"/>
  <c r="L171" i="1"/>
  <c r="L172" i="1"/>
  <c r="L173" i="1"/>
  <c r="L174" i="1"/>
  <c r="L175" i="1"/>
  <c r="L176" i="1"/>
  <c r="L177" i="1"/>
  <c r="K159" i="1"/>
  <c r="K160" i="1"/>
  <c r="K161" i="1"/>
  <c r="K162" i="1"/>
  <c r="K163" i="1"/>
  <c r="K164" i="1"/>
  <c r="K165" i="1"/>
  <c r="K166" i="1"/>
  <c r="K167" i="1"/>
  <c r="K168" i="1"/>
  <c r="K169" i="1"/>
  <c r="K170" i="1"/>
  <c r="K171" i="1"/>
  <c r="K172" i="1"/>
  <c r="K173" i="1"/>
  <c r="K174" i="1"/>
  <c r="K175" i="1"/>
  <c r="K176" i="1"/>
  <c r="K177" i="1"/>
  <c r="K158" i="1"/>
  <c r="V132" i="1"/>
  <c r="V133" i="1"/>
  <c r="V134" i="1"/>
  <c r="V135" i="1"/>
  <c r="S144" i="1"/>
  <c r="T132" i="1"/>
  <c r="T133" i="1"/>
  <c r="T134" i="1"/>
  <c r="T135" i="1"/>
  <c r="M132" i="1"/>
  <c r="M133" i="1"/>
  <c r="M134" i="1"/>
  <c r="M135" i="1"/>
  <c r="M136" i="1"/>
  <c r="M137" i="1"/>
  <c r="M138" i="1"/>
  <c r="M139" i="1"/>
  <c r="M140" i="1"/>
  <c r="M141" i="1"/>
  <c r="M142" i="1"/>
  <c r="M143" i="1"/>
  <c r="M144" i="1"/>
  <c r="M145" i="1"/>
  <c r="M146" i="1"/>
  <c r="M147" i="1"/>
  <c r="M148" i="1"/>
  <c r="M149" i="1"/>
  <c r="M150" i="1"/>
  <c r="L244" i="1"/>
  <c r="N131" i="1"/>
  <c r="G223" i="4" l="1"/>
  <c r="B167" i="4"/>
  <c r="E167" i="4"/>
  <c r="A170" i="4"/>
  <c r="A429" i="4"/>
  <c r="C428" i="4"/>
  <c r="B428" i="4"/>
  <c r="R370" i="4"/>
  <c r="K370" i="4" s="1"/>
  <c r="P370" i="4"/>
  <c r="I370" i="4" s="1"/>
  <c r="AC297" i="4"/>
  <c r="AB300" i="4"/>
  <c r="AB298" i="4"/>
  <c r="AN305" i="4"/>
  <c r="AD297" i="4"/>
  <c r="V170" i="4"/>
  <c r="V171" i="4" s="1"/>
  <c r="V172" i="4"/>
  <c r="D170" i="4"/>
  <c r="C171" i="4"/>
  <c r="D171" i="4" s="1"/>
  <c r="D297" i="4"/>
  <c r="G297" i="4" s="1"/>
  <c r="C300" i="4"/>
  <c r="C298" i="4"/>
  <c r="B171" i="4"/>
  <c r="A174" i="4"/>
  <c r="D231" i="4"/>
  <c r="C232" i="4"/>
  <c r="C234" i="4"/>
  <c r="N65" i="4"/>
  <c r="M65" i="4" s="1"/>
  <c r="E224" i="4"/>
  <c r="E228" i="4"/>
  <c r="A231" i="4"/>
  <c r="B228" i="4"/>
  <c r="B407" i="4"/>
  <c r="D407" i="4"/>
  <c r="A408" i="4"/>
  <c r="AC296" i="4"/>
  <c r="AD296" i="4"/>
  <c r="G228" i="4"/>
  <c r="B298" i="4"/>
  <c r="A301" i="4"/>
  <c r="E298" i="4"/>
  <c r="D172" i="4"/>
  <c r="C175" i="4"/>
  <c r="C173" i="4"/>
  <c r="Z306" i="4"/>
  <c r="AA303" i="4"/>
  <c r="D229" i="4"/>
  <c r="C230" i="4"/>
  <c r="D230" i="4" s="1"/>
  <c r="A230" i="4"/>
  <c r="B227" i="4"/>
  <c r="G227" i="4" s="1"/>
  <c r="E227" i="4"/>
  <c r="AO295" i="4"/>
  <c r="AQ295" i="4" s="1"/>
  <c r="AN296" i="4"/>
  <c r="AP295" i="4"/>
  <c r="W372" i="4"/>
  <c r="X371" i="4"/>
  <c r="Y371" i="4"/>
  <c r="AU373" i="4"/>
  <c r="AV372" i="4"/>
  <c r="A226" i="4"/>
  <c r="B223" i="4"/>
  <c r="E223" i="4"/>
  <c r="AA302" i="4"/>
  <c r="Z305" i="4"/>
  <c r="C450" i="4"/>
  <c r="B450" i="4"/>
  <c r="A451" i="4"/>
  <c r="A390" i="4"/>
  <c r="C389" i="4"/>
  <c r="B389" i="4"/>
  <c r="D389" i="4"/>
  <c r="E389" i="4" s="1"/>
  <c r="F389" i="4" s="1"/>
  <c r="D428" i="4"/>
  <c r="E428" i="4" s="1"/>
  <c r="AA298" i="4"/>
  <c r="Z301" i="4"/>
  <c r="AD298" i="4"/>
  <c r="A303" i="4"/>
  <c r="B300" i="4"/>
  <c r="E300" i="4"/>
  <c r="C447" i="4"/>
  <c r="B447" i="4"/>
  <c r="B372" i="4"/>
  <c r="A373" i="4"/>
  <c r="G224" i="4"/>
  <c r="S175" i="4"/>
  <c r="S173" i="4"/>
  <c r="S174" i="4" s="1"/>
  <c r="P170" i="4"/>
  <c r="P171" i="4" s="1"/>
  <c r="P172" i="4"/>
  <c r="B302" i="4"/>
  <c r="A305" i="4"/>
  <c r="A178" i="4"/>
  <c r="B175" i="4"/>
  <c r="E175" i="4"/>
  <c r="A37" i="4"/>
  <c r="C36" i="4"/>
  <c r="B36" i="4"/>
  <c r="L66" i="4"/>
  <c r="J67" i="4"/>
  <c r="K66" i="4"/>
  <c r="N66" i="4" s="1"/>
  <c r="M66" i="4" s="1"/>
  <c r="Y172" i="4"/>
  <c r="Y170" i="4"/>
  <c r="Y171" i="4" s="1"/>
  <c r="N132" i="1"/>
  <c r="N133" i="1"/>
  <c r="N134" i="1"/>
  <c r="N135" i="1"/>
  <c r="N136" i="1"/>
  <c r="N137" i="1"/>
  <c r="N138" i="1"/>
  <c r="N139" i="1"/>
  <c r="N140" i="1"/>
  <c r="N141" i="1"/>
  <c r="N142" i="1"/>
  <c r="N143" i="1"/>
  <c r="N144" i="1"/>
  <c r="N145" i="1"/>
  <c r="N146" i="1"/>
  <c r="N147" i="1"/>
  <c r="N148" i="1"/>
  <c r="N149" i="1"/>
  <c r="N150" i="1"/>
  <c r="L158" i="1"/>
  <c r="T144" i="1"/>
  <c r="C451" i="4" l="1"/>
  <c r="B451" i="4"/>
  <c r="E230" i="4"/>
  <c r="G230" i="4" s="1"/>
  <c r="A233" i="4"/>
  <c r="B230" i="4"/>
  <c r="D232" i="4"/>
  <c r="C233" i="4"/>
  <c r="D233" i="4" s="1"/>
  <c r="AC300" i="4"/>
  <c r="AB301" i="4"/>
  <c r="AN306" i="4"/>
  <c r="AB303" i="4"/>
  <c r="AD300" i="4"/>
  <c r="AJ304" i="4"/>
  <c r="A173" i="4"/>
  <c r="E170" i="4"/>
  <c r="B170" i="4"/>
  <c r="A374" i="4"/>
  <c r="B373" i="4"/>
  <c r="B303" i="4"/>
  <c r="A306" i="4"/>
  <c r="R372" i="4"/>
  <c r="K372" i="4" s="1"/>
  <c r="Q372" i="4"/>
  <c r="J372" i="4" s="1"/>
  <c r="Y372" i="4"/>
  <c r="X372" i="4"/>
  <c r="S372" i="4"/>
  <c r="L372" i="4" s="1"/>
  <c r="W373" i="4"/>
  <c r="P372" i="4" s="1"/>
  <c r="I372" i="4" s="1"/>
  <c r="D298" i="4"/>
  <c r="C299" i="4"/>
  <c r="AF297" i="4"/>
  <c r="K67" i="4"/>
  <c r="N67" i="4" s="1"/>
  <c r="M67" i="4" s="1"/>
  <c r="L67" i="4"/>
  <c r="B178" i="4"/>
  <c r="B305" i="4"/>
  <c r="A308" i="4"/>
  <c r="B390" i="4"/>
  <c r="E390" i="4"/>
  <c r="F390" i="4" s="1"/>
  <c r="A391" i="4"/>
  <c r="C390" i="4"/>
  <c r="D390" i="4"/>
  <c r="AU374" i="4"/>
  <c r="AV373" i="4"/>
  <c r="C174" i="4"/>
  <c r="D174" i="4" s="1"/>
  <c r="D173" i="4"/>
  <c r="A304" i="4"/>
  <c r="B301" i="4"/>
  <c r="AF296" i="4"/>
  <c r="A177" i="4"/>
  <c r="E174" i="4"/>
  <c r="B174" i="4"/>
  <c r="D300" i="4"/>
  <c r="G300" i="4" s="1"/>
  <c r="C303" i="4"/>
  <c r="C301" i="4"/>
  <c r="AP305" i="4"/>
  <c r="AO305" i="4"/>
  <c r="B429" i="4"/>
  <c r="C429" i="4"/>
  <c r="A430" i="4"/>
  <c r="D429" i="4"/>
  <c r="E429" i="4" s="1"/>
  <c r="AF300" i="4"/>
  <c r="Y173" i="4"/>
  <c r="Y174" i="4" s="1"/>
  <c r="Y175" i="4"/>
  <c r="P175" i="4"/>
  <c r="P173" i="4"/>
  <c r="P174" i="4" s="1"/>
  <c r="E226" i="4"/>
  <c r="B226" i="4"/>
  <c r="G226" i="4" s="1"/>
  <c r="A229" i="4"/>
  <c r="AO296" i="4"/>
  <c r="AQ296" i="4" s="1"/>
  <c r="AN297" i="4"/>
  <c r="AP296" i="4"/>
  <c r="AA306" i="4"/>
  <c r="A38" i="4"/>
  <c r="C37" i="4"/>
  <c r="B37" i="4"/>
  <c r="S178" i="4"/>
  <c r="S179" i="4" s="1"/>
  <c r="S180" i="4" s="1"/>
  <c r="S176" i="4"/>
  <c r="S177" i="4" s="1"/>
  <c r="Z304" i="4"/>
  <c r="AA301" i="4"/>
  <c r="AD301" i="4"/>
  <c r="Z308" i="4"/>
  <c r="AA305" i="4"/>
  <c r="C176" i="4"/>
  <c r="D175" i="4"/>
  <c r="C178" i="4"/>
  <c r="G298" i="4"/>
  <c r="D408" i="4"/>
  <c r="A409" i="4"/>
  <c r="B408" i="4"/>
  <c r="A234" i="4"/>
  <c r="E231" i="4"/>
  <c r="B231" i="4"/>
  <c r="G231" i="4" s="1"/>
  <c r="D234" i="4"/>
  <c r="C235" i="4"/>
  <c r="E171" i="4"/>
  <c r="V175" i="4"/>
  <c r="V173" i="4"/>
  <c r="V174" i="4" s="1"/>
  <c r="AC298" i="4"/>
  <c r="AF298" i="4" s="1"/>
  <c r="AB299" i="4"/>
  <c r="H443" i="4" a="1"/>
  <c r="C279" i="1"/>
  <c r="C278" i="1"/>
  <c r="C277" i="1"/>
  <c r="C276" i="1"/>
  <c r="C275" i="1"/>
  <c r="C274" i="1"/>
  <c r="K273" i="1"/>
  <c r="J273" i="1"/>
  <c r="I273" i="1"/>
  <c r="C273" i="1"/>
  <c r="K272" i="1"/>
  <c r="J272" i="1"/>
  <c r="I272" i="1"/>
  <c r="C272" i="1"/>
  <c r="K271" i="1"/>
  <c r="J271" i="1"/>
  <c r="I271" i="1"/>
  <c r="C271" i="1"/>
  <c r="K270" i="1"/>
  <c r="J270" i="1"/>
  <c r="I270" i="1"/>
  <c r="C270" i="1"/>
  <c r="K269" i="1"/>
  <c r="J269" i="1"/>
  <c r="I269" i="1"/>
  <c r="C269" i="1"/>
  <c r="K268" i="1"/>
  <c r="J268" i="1"/>
  <c r="I268" i="1"/>
  <c r="C268" i="1"/>
  <c r="K267" i="1"/>
  <c r="J267" i="1"/>
  <c r="I267" i="1"/>
  <c r="C267" i="1"/>
  <c r="K266" i="1"/>
  <c r="J266" i="1"/>
  <c r="I266" i="1"/>
  <c r="C266" i="1"/>
  <c r="K265" i="1"/>
  <c r="J265" i="1"/>
  <c r="I265" i="1"/>
  <c r="C265" i="1"/>
  <c r="K264" i="1"/>
  <c r="J264" i="1"/>
  <c r="I264" i="1"/>
  <c r="C264" i="1"/>
  <c r="K263" i="1"/>
  <c r="J263" i="1"/>
  <c r="I263" i="1"/>
  <c r="C263" i="1"/>
  <c r="J262" i="1"/>
  <c r="I262" i="1"/>
  <c r="C262" i="1"/>
  <c r="R255" i="1"/>
  <c r="Q255" i="1"/>
  <c r="R254" i="1"/>
  <c r="Q254" i="1"/>
  <c r="R253" i="1"/>
  <c r="Q253" i="1"/>
  <c r="C252" i="1"/>
  <c r="C251" i="1"/>
  <c r="C250" i="1"/>
  <c r="C249" i="1"/>
  <c r="C248" i="1"/>
  <c r="C247" i="1"/>
  <c r="C246" i="1"/>
  <c r="C245" i="1"/>
  <c r="C244" i="1"/>
  <c r="R239" i="1"/>
  <c r="J158" i="1"/>
  <c r="R148" i="1"/>
  <c r="R147" i="1"/>
  <c r="R146" i="1"/>
  <c r="R145" i="1"/>
  <c r="R144" i="1"/>
  <c r="T148" i="1"/>
  <c r="S148" i="1"/>
  <c r="T147" i="1"/>
  <c r="S147" i="1"/>
  <c r="T146" i="1"/>
  <c r="S146" i="1"/>
  <c r="T145" i="1"/>
  <c r="S145" i="1"/>
  <c r="AC299" i="4" l="1"/>
  <c r="AF299" i="4" s="1"/>
  <c r="AD299" i="4"/>
  <c r="D178" i="4"/>
  <c r="C179" i="4"/>
  <c r="A39" i="4"/>
  <c r="C38" i="4"/>
  <c r="B38" i="4"/>
  <c r="Y176" i="4"/>
  <c r="Y177" i="4" s="1"/>
  <c r="Y178" i="4"/>
  <c r="Y179" i="4" s="1"/>
  <c r="Y180" i="4" s="1"/>
  <c r="C306" i="4"/>
  <c r="D303" i="4"/>
  <c r="G303" i="4" s="1"/>
  <c r="C304" i="4"/>
  <c r="A180" i="4"/>
  <c r="B177" i="4"/>
  <c r="C391" i="4"/>
  <c r="A392" i="4"/>
  <c r="B391" i="4"/>
  <c r="D391" i="4"/>
  <c r="E391" i="4" s="1"/>
  <c r="F391" i="4" s="1"/>
  <c r="E178" i="4"/>
  <c r="A375" i="4"/>
  <c r="B374" i="4"/>
  <c r="B173" i="4"/>
  <c r="E173" i="4"/>
  <c r="A176" i="4"/>
  <c r="AO306" i="4"/>
  <c r="AP306" i="4"/>
  <c r="C236" i="4"/>
  <c r="D235" i="4"/>
  <c r="B409" i="4"/>
  <c r="D409" i="4"/>
  <c r="B229" i="4"/>
  <c r="G229" i="4" s="1"/>
  <c r="A232" i="4"/>
  <c r="E229" i="4"/>
  <c r="C430" i="4"/>
  <c r="B430" i="4"/>
  <c r="A431" i="4"/>
  <c r="D430" i="4"/>
  <c r="E430" i="4" s="1"/>
  <c r="A307" i="4"/>
  <c r="B304" i="4"/>
  <c r="AU375" i="4"/>
  <c r="AV374" i="4"/>
  <c r="B308" i="4"/>
  <c r="D299" i="4"/>
  <c r="E299" i="4"/>
  <c r="G299" i="4"/>
  <c r="E303" i="4"/>
  <c r="AB302" i="4"/>
  <c r="AC301" i="4"/>
  <c r="AF301" i="4" s="1"/>
  <c r="E234" i="4"/>
  <c r="B234" i="4"/>
  <c r="G234" i="4"/>
  <c r="E408" i="4"/>
  <c r="C177" i="4"/>
  <c r="D177" i="4" s="1"/>
  <c r="D176" i="4"/>
  <c r="K447" i="4"/>
  <c r="K446" i="4"/>
  <c r="K445" i="4"/>
  <c r="K444" i="4"/>
  <c r="K443" i="4"/>
  <c r="J447" i="4"/>
  <c r="J446" i="4"/>
  <c r="J445" i="4"/>
  <c r="J444" i="4"/>
  <c r="J443" i="4"/>
  <c r="I453" i="4" s="1"/>
  <c r="H446" i="4"/>
  <c r="H444" i="4"/>
  <c r="I447" i="4"/>
  <c r="I445" i="4"/>
  <c r="I443" i="4"/>
  <c r="I454" i="4" s="1"/>
  <c r="H447" i="4"/>
  <c r="H443" i="4"/>
  <c r="I455" i="4" s="1"/>
  <c r="I446" i="4"/>
  <c r="H445" i="4"/>
  <c r="I444" i="4"/>
  <c r="V176" i="4"/>
  <c r="V177" i="4" s="1"/>
  <c r="V178" i="4"/>
  <c r="V179" i="4" s="1"/>
  <c r="V180" i="4" s="1"/>
  <c r="AA308" i="4"/>
  <c r="Z307" i="4"/>
  <c r="AD304" i="4"/>
  <c r="AA304" i="4"/>
  <c r="L35" i="4" a="1"/>
  <c r="AO297" i="4"/>
  <c r="AQ297" i="4" s="1"/>
  <c r="AN298" i="4"/>
  <c r="AP297" i="4"/>
  <c r="P176" i="4"/>
  <c r="P177" i="4" s="1"/>
  <c r="P178" i="4"/>
  <c r="P179" i="4" s="1"/>
  <c r="P180" i="4" s="1"/>
  <c r="D301" i="4"/>
  <c r="C302" i="4"/>
  <c r="E301" i="4"/>
  <c r="G301" i="4" s="1"/>
  <c r="W374" i="4"/>
  <c r="Y373" i="4"/>
  <c r="X373" i="4"/>
  <c r="E306" i="4"/>
  <c r="B306" i="4"/>
  <c r="AC303" i="4"/>
  <c r="AJ305" i="4"/>
  <c r="AB304" i="4"/>
  <c r="AN307" i="4"/>
  <c r="AB306" i="4"/>
  <c r="AD303" i="4"/>
  <c r="A236" i="4"/>
  <c r="E233" i="4"/>
  <c r="B233" i="4"/>
  <c r="G233" i="4"/>
  <c r="L247" i="1"/>
  <c r="L265" i="1" s="1"/>
  <c r="L251" i="1"/>
  <c r="L269" i="1" s="1"/>
  <c r="L255" i="1"/>
  <c r="L273" i="1" s="1"/>
  <c r="S253" i="1"/>
  <c r="L248" i="1"/>
  <c r="L266" i="1" s="1"/>
  <c r="L245" i="1"/>
  <c r="L263" i="1" s="1"/>
  <c r="L249" i="1"/>
  <c r="L267" i="1" s="1"/>
  <c r="T245" i="1"/>
  <c r="S254" i="1" s="1"/>
  <c r="L252" i="1"/>
  <c r="L270" i="1" s="1"/>
  <c r="L246" i="1"/>
  <c r="L264" i="1" s="1"/>
  <c r="L250" i="1"/>
  <c r="L268" i="1" s="1"/>
  <c r="L254" i="1"/>
  <c r="L272" i="1" s="1"/>
  <c r="T246" i="1"/>
  <c r="S255" i="1" s="1"/>
  <c r="L253" i="1"/>
  <c r="L271" i="1" s="1"/>
  <c r="AO298" i="4" l="1"/>
  <c r="AQ298" i="4" s="1"/>
  <c r="AP298" i="4"/>
  <c r="F447" i="4"/>
  <c r="F446" i="4"/>
  <c r="F445" i="4"/>
  <c r="F444" i="4"/>
  <c r="F451" i="4"/>
  <c r="F450" i="4"/>
  <c r="F449" i="4"/>
  <c r="F448" i="4"/>
  <c r="AU376" i="4"/>
  <c r="AV375" i="4"/>
  <c r="B307" i="4"/>
  <c r="A235" i="4"/>
  <c r="B232" i="4"/>
  <c r="E232" i="4"/>
  <c r="G232" i="4" s="1"/>
  <c r="M41" i="4"/>
  <c r="M39" i="4"/>
  <c r="M37" i="4"/>
  <c r="M35" i="4"/>
  <c r="I36" i="4" s="1"/>
  <c r="M38" i="4"/>
  <c r="L41" i="4"/>
  <c r="L39" i="4"/>
  <c r="L37" i="4"/>
  <c r="L35" i="4"/>
  <c r="I37" i="4" s="1"/>
  <c r="M40" i="4"/>
  <c r="M36" i="4"/>
  <c r="L36" i="4"/>
  <c r="L40" i="4"/>
  <c r="L38" i="4"/>
  <c r="AA307" i="4"/>
  <c r="A432" i="4"/>
  <c r="C431" i="4"/>
  <c r="E431" i="4"/>
  <c r="B431" i="4"/>
  <c r="D431" i="4"/>
  <c r="A393" i="4"/>
  <c r="C392" i="4"/>
  <c r="B392" i="4"/>
  <c r="D392" i="4"/>
  <c r="E392" i="4" s="1"/>
  <c r="F392" i="4" s="1"/>
  <c r="E177" i="4"/>
  <c r="C307" i="4"/>
  <c r="D306" i="4"/>
  <c r="G306" i="4" s="1"/>
  <c r="D304" i="4"/>
  <c r="C305" i="4"/>
  <c r="C180" i="4"/>
  <c r="D180" i="4" s="1"/>
  <c r="D179" i="4"/>
  <c r="AC306" i="4"/>
  <c r="AF306" i="4" s="1"/>
  <c r="AB307" i="4"/>
  <c r="AD307" i="4" s="1"/>
  <c r="AN308" i="4"/>
  <c r="AJ306" i="4"/>
  <c r="AD306" i="4"/>
  <c r="AF303" i="4"/>
  <c r="D302" i="4"/>
  <c r="E302" i="4"/>
  <c r="G302" i="4"/>
  <c r="AC302" i="4"/>
  <c r="AF302" i="4" s="1"/>
  <c r="AD302" i="4"/>
  <c r="A179" i="4"/>
  <c r="B176" i="4"/>
  <c r="E176" i="4"/>
  <c r="B375" i="4"/>
  <c r="A376" i="4"/>
  <c r="AP307" i="4"/>
  <c r="AO307" i="4"/>
  <c r="B236" i="4"/>
  <c r="G236" i="4"/>
  <c r="E236" i="4"/>
  <c r="AB305" i="4"/>
  <c r="AC304" i="4"/>
  <c r="AF304" i="4" s="1"/>
  <c r="Y374" i="4"/>
  <c r="W375" i="4"/>
  <c r="X374" i="4"/>
  <c r="E304" i="4"/>
  <c r="G304" i="4" s="1"/>
  <c r="E409" i="4"/>
  <c r="K403" i="4" s="1" a="1"/>
  <c r="E404" i="4"/>
  <c r="E405" i="4"/>
  <c r="E406" i="4"/>
  <c r="E407" i="4"/>
  <c r="B180" i="4"/>
  <c r="E180" i="4"/>
  <c r="C39" i="4"/>
  <c r="B39" i="4"/>
  <c r="Q35" i="4" s="1" a="1"/>
  <c r="L407" i="4" l="1"/>
  <c r="K406" i="4"/>
  <c r="M404" i="4"/>
  <c r="L403" i="4"/>
  <c r="L412" i="4" s="1"/>
  <c r="K407" i="4"/>
  <c r="M405" i="4"/>
  <c r="L404" i="4"/>
  <c r="K403" i="4"/>
  <c r="L413" i="4" s="1"/>
  <c r="L406" i="4"/>
  <c r="M403" i="4"/>
  <c r="L405" i="4"/>
  <c r="K404" i="4"/>
  <c r="M407" i="4"/>
  <c r="K405" i="4"/>
  <c r="M406" i="4"/>
  <c r="Q41" i="4"/>
  <c r="Q40" i="4"/>
  <c r="Q39" i="4"/>
  <c r="Q38" i="4"/>
  <c r="Q37" i="4"/>
  <c r="Q36" i="4"/>
  <c r="Q35" i="4"/>
  <c r="K39" i="4" s="1"/>
  <c r="S41" i="4"/>
  <c r="S40" i="4"/>
  <c r="S38" i="4"/>
  <c r="S36" i="4"/>
  <c r="S35" i="4"/>
  <c r="K37" i="4" s="1"/>
  <c r="T41" i="4"/>
  <c r="T40" i="4"/>
  <c r="T39" i="4"/>
  <c r="T38" i="4"/>
  <c r="T37" i="4"/>
  <c r="T36" i="4"/>
  <c r="T35" i="4"/>
  <c r="K36" i="4" s="1"/>
  <c r="S39" i="4"/>
  <c r="S37" i="4"/>
  <c r="R38" i="4"/>
  <c r="R41" i="4"/>
  <c r="R37" i="4"/>
  <c r="R36" i="4"/>
  <c r="R40" i="4"/>
  <c r="R39" i="4"/>
  <c r="R35" i="4"/>
  <c r="K38" i="4" s="1"/>
  <c r="D305" i="4"/>
  <c r="G305" i="4" s="1"/>
  <c r="E305" i="4"/>
  <c r="AF307" i="4"/>
  <c r="B235" i="4"/>
  <c r="G235" i="4" s="1"/>
  <c r="E235" i="4"/>
  <c r="X375" i="4"/>
  <c r="Y375" i="4"/>
  <c r="W376" i="4"/>
  <c r="A394" i="4"/>
  <c r="E393" i="4"/>
  <c r="F393" i="4" s="1"/>
  <c r="B393" i="4"/>
  <c r="C393" i="4"/>
  <c r="D393" i="4"/>
  <c r="AU377" i="4"/>
  <c r="AV377" i="4" s="1"/>
  <c r="AY369" i="4" s="1" a="1"/>
  <c r="AV376" i="4"/>
  <c r="R374" i="4"/>
  <c r="K374" i="4" s="1"/>
  <c r="Q374" i="4"/>
  <c r="J374" i="4" s="1"/>
  <c r="AC305" i="4"/>
  <c r="AF305" i="4" s="1"/>
  <c r="AD305" i="4"/>
  <c r="A433" i="4"/>
  <c r="E432" i="4"/>
  <c r="C432" i="4"/>
  <c r="B432" i="4"/>
  <c r="D432" i="4"/>
  <c r="A377" i="4"/>
  <c r="B377" i="4" s="1"/>
  <c r="B376" i="4"/>
  <c r="E369" i="4" a="1"/>
  <c r="B179" i="4"/>
  <c r="H165" i="4" s="1" a="1"/>
  <c r="E179" i="4"/>
  <c r="AC307" i="4"/>
  <c r="AB308" i="4"/>
  <c r="N35" i="4" a="1"/>
  <c r="E40" i="4"/>
  <c r="E38" i="4"/>
  <c r="E36" i="4"/>
  <c r="E37" i="4"/>
  <c r="E35" i="4"/>
  <c r="E39" i="4"/>
  <c r="S374" i="4"/>
  <c r="L374" i="4" s="1"/>
  <c r="P374" i="4"/>
  <c r="I374" i="4" s="1"/>
  <c r="AP308" i="4"/>
  <c r="AO308" i="4"/>
  <c r="C308" i="4"/>
  <c r="D307" i="4"/>
  <c r="G307" i="4" s="1"/>
  <c r="E307" i="4"/>
  <c r="M169" i="4" l="1"/>
  <c r="I169" i="4"/>
  <c r="K168" i="4"/>
  <c r="M167" i="4"/>
  <c r="I167" i="4"/>
  <c r="K166" i="4"/>
  <c r="M165" i="4"/>
  <c r="I165" i="4"/>
  <c r="I179" i="4" s="1"/>
  <c r="L169" i="4"/>
  <c r="J169" i="4"/>
  <c r="J168" i="4"/>
  <c r="K167" i="4"/>
  <c r="L166" i="4"/>
  <c r="L165" i="4"/>
  <c r="I176" i="4" s="1"/>
  <c r="M168" i="4"/>
  <c r="H168" i="4"/>
  <c r="H167" i="4"/>
  <c r="I166" i="4"/>
  <c r="J165" i="4"/>
  <c r="I178" i="4" s="1"/>
  <c r="H169" i="4"/>
  <c r="I168" i="4"/>
  <c r="J167" i="4"/>
  <c r="J166" i="4"/>
  <c r="K165" i="4"/>
  <c r="I177" i="4" s="1"/>
  <c r="L167" i="4"/>
  <c r="K169" i="4"/>
  <c r="M166" i="4"/>
  <c r="H166" i="4"/>
  <c r="L168" i="4"/>
  <c r="H165" i="4"/>
  <c r="I180" i="4" s="1"/>
  <c r="E308" i="4"/>
  <c r="G308" i="4"/>
  <c r="G373" i="4"/>
  <c r="F372" i="4"/>
  <c r="E371" i="4"/>
  <c r="G369" i="4"/>
  <c r="F373" i="4"/>
  <c r="E372" i="4"/>
  <c r="G370" i="4"/>
  <c r="F369" i="4"/>
  <c r="F377" i="4" s="1"/>
  <c r="F371" i="4"/>
  <c r="E373" i="4"/>
  <c r="F370" i="4"/>
  <c r="G371" i="4"/>
  <c r="E370" i="4"/>
  <c r="E369" i="4"/>
  <c r="F378" i="4" s="1"/>
  <c r="G372" i="4"/>
  <c r="A434" i="4"/>
  <c r="B433" i="4"/>
  <c r="C433" i="4"/>
  <c r="D433" i="4"/>
  <c r="E433" i="4" s="1"/>
  <c r="A395" i="4"/>
  <c r="C394" i="4"/>
  <c r="B394" i="4"/>
  <c r="D394" i="4"/>
  <c r="E394" i="4" s="1"/>
  <c r="F394" i="4" s="1"/>
  <c r="G39" i="4"/>
  <c r="G37" i="4"/>
  <c r="G36" i="4"/>
  <c r="G40" i="4"/>
  <c r="G38" i="4"/>
  <c r="G35" i="4"/>
  <c r="L411" i="4"/>
  <c r="F407" i="4"/>
  <c r="F405" i="4"/>
  <c r="F409" i="4"/>
  <c r="F408" i="4"/>
  <c r="F404" i="4"/>
  <c r="F406" i="4"/>
  <c r="AY373" i="4"/>
  <c r="BA371" i="4"/>
  <c r="AZ370" i="4"/>
  <c r="AY369" i="4"/>
  <c r="AZ378" i="4" s="1"/>
  <c r="BA372" i="4"/>
  <c r="AZ371" i="4"/>
  <c r="AY370" i="4"/>
  <c r="AZ373" i="4"/>
  <c r="BA370" i="4"/>
  <c r="AZ372" i="4"/>
  <c r="BA369" i="4"/>
  <c r="AZ369" i="4"/>
  <c r="AZ377" i="4" s="1"/>
  <c r="BA373" i="4"/>
  <c r="AY372" i="4"/>
  <c r="AY371" i="4"/>
  <c r="AD308" i="4"/>
  <c r="AF308" i="4"/>
  <c r="N41" i="4"/>
  <c r="P39" i="4"/>
  <c r="O38" i="4"/>
  <c r="N37" i="4"/>
  <c r="P35" i="4"/>
  <c r="J36" i="4" s="1"/>
  <c r="O40" i="4"/>
  <c r="P37" i="4"/>
  <c r="N35" i="4"/>
  <c r="J38" i="4" s="1"/>
  <c r="P40" i="4"/>
  <c r="O39" i="4"/>
  <c r="N38" i="4"/>
  <c r="P36" i="4"/>
  <c r="O35" i="4"/>
  <c r="J37" i="4" s="1"/>
  <c r="P41" i="4"/>
  <c r="N39" i="4"/>
  <c r="O36" i="4"/>
  <c r="O41" i="4"/>
  <c r="N36" i="4"/>
  <c r="N40" i="4"/>
  <c r="P38" i="4"/>
  <c r="O37" i="4"/>
  <c r="Q376" i="4"/>
  <c r="J376" i="4" s="1"/>
  <c r="Y376" i="4"/>
  <c r="S376" i="4"/>
  <c r="L376" i="4" s="1"/>
  <c r="X376" i="4"/>
  <c r="R376" i="4"/>
  <c r="K376" i="4" s="1"/>
  <c r="W377" i="4"/>
  <c r="P376" i="4"/>
  <c r="I376" i="4" s="1"/>
  <c r="F35" i="4" l="1"/>
  <c r="F39" i="4"/>
  <c r="F37" i="4"/>
  <c r="F40" i="4"/>
  <c r="F38" i="4"/>
  <c r="F36" i="4"/>
  <c r="A435" i="4"/>
  <c r="E434" i="4"/>
  <c r="C434" i="4"/>
  <c r="B434" i="4"/>
  <c r="D434" i="4"/>
  <c r="U379" i="4"/>
  <c r="Y377" i="4"/>
  <c r="T379" i="4"/>
  <c r="X377" i="4"/>
  <c r="G180" i="4"/>
  <c r="G176" i="4"/>
  <c r="G177" i="4"/>
  <c r="G174" i="4"/>
  <c r="G172" i="4"/>
  <c r="G170" i="4"/>
  <c r="G168" i="4"/>
  <c r="G166" i="4"/>
  <c r="I175" i="4"/>
  <c r="G173" i="4"/>
  <c r="G169" i="4"/>
  <c r="G179" i="4"/>
  <c r="G178" i="4"/>
  <c r="G175" i="4"/>
  <c r="G167" i="4"/>
  <c r="G171" i="4"/>
  <c r="F376" i="4"/>
  <c r="D376" i="4"/>
  <c r="D373" i="4"/>
  <c r="D369" i="4"/>
  <c r="D372" i="4"/>
  <c r="D377" i="4"/>
  <c r="D370" i="4"/>
  <c r="D375" i="4"/>
  <c r="D371" i="4"/>
  <c r="D374" i="4"/>
  <c r="AX375" i="4"/>
  <c r="AX374" i="4"/>
  <c r="AX371" i="4"/>
  <c r="AZ376" i="4"/>
  <c r="AX370" i="4"/>
  <c r="AX373" i="4"/>
  <c r="AX372" i="4"/>
  <c r="AX369" i="4"/>
  <c r="AX376" i="4"/>
  <c r="AX377" i="4"/>
  <c r="B395" i="4"/>
  <c r="C395" i="4"/>
  <c r="D395" i="4"/>
  <c r="E395" i="4" s="1"/>
  <c r="F395" i="4" s="1"/>
  <c r="J385" i="4" l="1" a="1"/>
  <c r="T370" i="4"/>
  <c r="M370" i="4" s="1"/>
  <c r="T373" i="4"/>
  <c r="M373" i="4" s="1"/>
  <c r="T380" i="4"/>
  <c r="T374" i="4" s="1"/>
  <c r="M374" i="4" s="1"/>
  <c r="T376" i="4"/>
  <c r="M376" i="4" s="1"/>
  <c r="T371" i="4"/>
  <c r="M371" i="4" s="1"/>
  <c r="T372" i="4"/>
  <c r="M372" i="4" s="1"/>
  <c r="E435" i="4"/>
  <c r="B435" i="4"/>
  <c r="C435" i="4"/>
  <c r="U373" i="4"/>
  <c r="N373" i="4" s="1"/>
  <c r="U374" i="4"/>
  <c r="N374" i="4" s="1"/>
  <c r="U372" i="4"/>
  <c r="N372" i="4" s="1"/>
  <c r="U380" i="4"/>
  <c r="U376" i="4" s="1"/>
  <c r="N376" i="4" s="1"/>
  <c r="U371" i="4"/>
  <c r="N371" i="4" s="1"/>
  <c r="U375" i="4"/>
  <c r="N375" i="4" s="1"/>
  <c r="U370" i="4"/>
  <c r="N370" i="4" s="1"/>
  <c r="J389" i="4" l="1"/>
  <c r="J388" i="4"/>
  <c r="J387" i="4"/>
  <c r="J386" i="4"/>
  <c r="J385" i="4"/>
  <c r="L396" i="4" s="1"/>
  <c r="K389" i="4"/>
  <c r="M387" i="4"/>
  <c r="L386" i="4"/>
  <c r="K385" i="4"/>
  <c r="L395" i="4" s="1"/>
  <c r="M388" i="4"/>
  <c r="L387" i="4"/>
  <c r="K386" i="4"/>
  <c r="M389" i="4"/>
  <c r="K387" i="4"/>
  <c r="L389" i="4"/>
  <c r="M386" i="4"/>
  <c r="M385" i="4"/>
  <c r="K388" i="4"/>
  <c r="L385" i="4"/>
  <c r="L394" i="4" s="1"/>
  <c r="L388" i="4"/>
  <c r="F435" i="4"/>
  <c r="F425" i="4"/>
  <c r="F427" i="4"/>
  <c r="F426" i="4"/>
  <c r="F428" i="4"/>
  <c r="H424" i="4" s="1" a="1"/>
  <c r="F429" i="4"/>
  <c r="F430" i="4"/>
  <c r="F431" i="4"/>
  <c r="F432" i="4"/>
  <c r="F433" i="4"/>
  <c r="T375" i="4"/>
  <c r="M375" i="4" s="1"/>
  <c r="F434" i="4"/>
  <c r="H428" i="4" l="1"/>
  <c r="H427" i="4"/>
  <c r="H426" i="4"/>
  <c r="H425" i="4"/>
  <c r="H424" i="4"/>
  <c r="I435" i="4" s="1"/>
  <c r="K428" i="4"/>
  <c r="K427" i="4"/>
  <c r="K426" i="4"/>
  <c r="K425" i="4"/>
  <c r="K424" i="4"/>
  <c r="I427" i="4"/>
  <c r="I425" i="4"/>
  <c r="J428" i="4"/>
  <c r="J426" i="4"/>
  <c r="J424" i="4"/>
  <c r="I433" i="4" s="1"/>
  <c r="I426" i="4"/>
  <c r="J425" i="4"/>
  <c r="I428" i="4"/>
  <c r="J427" i="4"/>
  <c r="I424" i="4"/>
  <c r="I434" i="4" s="1"/>
  <c r="G396" i="4"/>
  <c r="G391" i="4"/>
  <c r="G387" i="4"/>
  <c r="G395" i="4"/>
  <c r="G393" i="4"/>
  <c r="G390" i="4"/>
  <c r="G392" i="4"/>
  <c r="G389" i="4"/>
  <c r="G386" i="4"/>
  <c r="L393" i="4"/>
  <c r="G394" i="4"/>
  <c r="G388" i="4"/>
  <c r="G430" i="4" l="1"/>
  <c r="G426" i="4"/>
  <c r="I432" i="4"/>
  <c r="G431" i="4"/>
  <c r="G427" i="4"/>
  <c r="G434" i="4"/>
  <c r="G433" i="4"/>
  <c r="G432" i="4"/>
  <c r="G425" i="4"/>
  <c r="G435" i="4"/>
  <c r="G429" i="4"/>
  <c r="G428" i="4"/>
</calcChain>
</file>

<file path=xl/comments1.xml><?xml version="1.0" encoding="utf-8"?>
<comments xmlns="http://schemas.openxmlformats.org/spreadsheetml/2006/main">
  <authors>
    <author>James V Dirkes II</author>
  </authors>
  <commentList>
    <comment ref="B11" authorId="0">
      <text>
        <r>
          <rPr>
            <sz val="9"/>
            <color indexed="81"/>
            <rFont val="Tahoma"/>
            <family val="2"/>
          </rPr>
          <t>X: Independent Variable 1</t>
        </r>
      </text>
    </comment>
    <comment ref="C11" authorId="0">
      <text>
        <r>
          <rPr>
            <sz val="9"/>
            <color indexed="81"/>
            <rFont val="Tahoma"/>
            <family val="2"/>
          </rPr>
          <t>Y: Independent Variable 2</t>
        </r>
      </text>
    </comment>
    <comment ref="D11" authorId="0">
      <text>
        <r>
          <rPr>
            <sz val="9"/>
            <color indexed="81"/>
            <rFont val="Tahoma"/>
            <family val="2"/>
          </rPr>
          <t>Capacity: Dependent Variable</t>
        </r>
      </text>
    </comment>
    <comment ref="E11" authorId="0">
      <text>
        <r>
          <rPr>
            <sz val="9"/>
            <color indexed="81"/>
            <rFont val="Tahoma"/>
            <family val="2"/>
          </rPr>
          <t>Power: Dependent Variable</t>
        </r>
      </text>
    </comment>
  </commentList>
</comments>
</file>

<file path=xl/sharedStrings.xml><?xml version="1.0" encoding="utf-8"?>
<sst xmlns="http://schemas.openxmlformats.org/spreadsheetml/2006/main" count="1183" uniqueCount="354">
  <si>
    <t xml:space="preserve">DX Coil Type: </t>
  </si>
  <si>
    <t xml:space="preserve">Independent Variable: </t>
  </si>
  <si>
    <t xml:space="preserve">Curve Type: </t>
  </si>
  <si>
    <t xml:space="preserve">Units: </t>
  </si>
  <si>
    <t>IP</t>
  </si>
  <si>
    <t xml:space="preserve">Rated Data:  </t>
  </si>
  <si>
    <t xml:space="preserve">Performance Data:  </t>
  </si>
  <si>
    <t>kBtuh</t>
  </si>
  <si>
    <t>kW</t>
  </si>
  <si>
    <t>R Squared</t>
  </si>
  <si>
    <t>!- Coefficient1 Constant</t>
  </si>
  <si>
    <t>!- Coefficient2 x</t>
  </si>
  <si>
    <t>!- Coefficient3 x**2</t>
  </si>
  <si>
    <t>!- Minimum Value of x</t>
  </si>
  <si>
    <t>!- Maximum Value of x</t>
  </si>
  <si>
    <t>!- Minimum Curve Output</t>
  </si>
  <si>
    <t>!- Maximum Curve Output</t>
  </si>
  <si>
    <t>!- Input Unit Type for X</t>
  </si>
  <si>
    <t>Dimensionless</t>
  </si>
  <si>
    <t>!- Output Unit Type</t>
  </si>
  <si>
    <t>SAMPLE DATA I</t>
  </si>
  <si>
    <t>Carrier Two-Speed Electric Heat Pump: SYNERGY 38YDA</t>
  </si>
  <si>
    <t>Indoor Fan Power</t>
  </si>
  <si>
    <t>W</t>
  </si>
  <si>
    <t>Capacity and Power data at various temperatures and rated flow rate.  This data is</t>
  </si>
  <si>
    <t xml:space="preserve">Capacity and Power Data at various supply air flow rates and rated temperatures. </t>
  </si>
  <si>
    <t>Manufacturer's Data</t>
  </si>
  <si>
    <t>used to generate Capacity and EIR curves as a function of temperatures.</t>
  </si>
  <si>
    <t xml:space="preserve"> This data is used to generate Capacity and EIR curves as a flow fraction.</t>
  </si>
  <si>
    <t>Corrected</t>
  </si>
  <si>
    <t>CFM</t>
  </si>
  <si>
    <t>Format Required By the Tool</t>
  </si>
  <si>
    <t>INPUT DATA FOR CAP AND EIR AS A FUNCTION OF FLOW</t>
  </si>
  <si>
    <t>INPUT DATA FOR CAP AND EIR AS A FUNCTION OF TEMPERATURE</t>
  </si>
  <si>
    <t>SAMPLE DATA II</t>
  </si>
  <si>
    <t>PACKAGED HEAT PUMP</t>
  </si>
  <si>
    <t>LENNOX KH Landmark RoofTop Unit: Model KHA036S4</t>
  </si>
  <si>
    <t xml:space="preserve">Outdoor Coil Fan Power: </t>
  </si>
  <si>
    <t>Capacity and Power data at various temperatures and rated flow rate.  This data</t>
  </si>
  <si>
    <t xml:space="preserve"> is used to generate Capacity and EIR curves as a function of temperatures.</t>
  </si>
  <si>
    <t>Compressor Plus Outdoor Coil Fan Power</t>
  </si>
  <si>
    <t>Rated Compressor Plus Outdoor Coil Fan Power</t>
  </si>
  <si>
    <t xml:space="preserve">Curve Object Name: </t>
  </si>
  <si>
    <t>!- Name</t>
  </si>
  <si>
    <t xml:space="preserve">Output File Name: </t>
  </si>
  <si>
    <t>Cooling</t>
  </si>
  <si>
    <t>Gross Total Cooling Capacity</t>
  </si>
  <si>
    <t>Rated Gross Total Cooling Capacity</t>
  </si>
  <si>
    <t>Temperature</t>
  </si>
  <si>
    <t>Biquadratic</t>
  </si>
  <si>
    <t>Indoor Air Wet-Bulb Temperature</t>
  </si>
  <si>
    <t>Outdoor Air Dry-Bulb Temperature</t>
  </si>
  <si>
    <t>oF</t>
  </si>
  <si>
    <t>Rated Indoor Air Wet-Bulb Temperature</t>
  </si>
  <si>
    <t>Rated Outdoor Air Dry-Bulb Temperature</t>
  </si>
  <si>
    <t>Curve:Biquadratic</t>
  </si>
  <si>
    <t>!- Coefficient4 y</t>
  </si>
  <si>
    <t>!- Coefficient5 y**2</t>
  </si>
  <si>
    <t>!- Coefficient6 x*y</t>
  </si>
  <si>
    <t>!- Minimum Value of y</t>
  </si>
  <si>
    <t>!- Maximum Value of y</t>
  </si>
  <si>
    <t>!- Input Unit Type for Y</t>
  </si>
  <si>
    <t>! 0.9957</t>
  </si>
  <si>
    <t xml:space="preserve">Output File Path: </t>
  </si>
  <si>
    <t>HP</t>
  </si>
  <si>
    <t>HPCoolingCAPFTemp</t>
  </si>
  <si>
    <t>HPCoolingEIRFTemp</t>
  </si>
  <si>
    <t>TDB, °F</t>
  </si>
  <si>
    <r>
      <t xml:space="preserve">TWB, </t>
    </r>
    <r>
      <rPr>
        <sz val="11"/>
        <color theme="1"/>
        <rFont val="Calibri"/>
        <family val="2"/>
      </rPr>
      <t>°F</t>
    </r>
  </si>
  <si>
    <t>CAP, kBTuh</t>
  </si>
  <si>
    <t>Total POWER, kW</t>
  </si>
  <si>
    <t>GROSS CAP, kBtuh</t>
  </si>
  <si>
    <t>POWER, kW</t>
  </si>
  <si>
    <t>TWB, °F</t>
  </si>
  <si>
    <t>CAP, kBtuh</t>
  </si>
  <si>
    <t>Gross CAP, kBtuh</t>
  </si>
  <si>
    <t>Power (Compressor + Outdoor Coil Fan), kW</t>
  </si>
  <si>
    <t>Power, kW</t>
  </si>
  <si>
    <t>Comp. Power, kW</t>
  </si>
  <si>
    <t>Flow, CFM</t>
  </si>
  <si>
    <t>! 0.9984</t>
  </si>
  <si>
    <t>EPlusCurveObjects</t>
  </si>
  <si>
    <t>C:\EnergyPlusV7-0-0\PreProcess\HVACCurveFitTool\</t>
  </si>
  <si>
    <r>
      <rPr>
        <b/>
        <u/>
        <sz val="24"/>
        <rFont val="Calibri"/>
        <family val="2"/>
      </rPr>
      <t>DERIVE</t>
    </r>
    <r>
      <rPr>
        <u/>
        <sz val="24"/>
        <rFont val="Calibri"/>
        <family val="2"/>
      </rPr>
      <t xml:space="preserve"> Linear, Quadratic or Cubic Curves</t>
    </r>
  </si>
  <si>
    <r>
      <rPr>
        <b/>
        <sz val="16"/>
        <rFont val="Calibri"/>
        <family val="2"/>
      </rPr>
      <t>DERIVE</t>
    </r>
    <r>
      <rPr>
        <sz val="14"/>
        <rFont val="Calibri"/>
        <family val="2"/>
      </rPr>
      <t xml:space="preserve"> coefficients for: </t>
    </r>
  </si>
  <si>
    <t>Linear</t>
  </si>
  <si>
    <t>Quadratic</t>
  </si>
  <si>
    <t>Cubic</t>
  </si>
  <si>
    <r>
      <t>X</t>
    </r>
    <r>
      <rPr>
        <vertAlign val="superscript"/>
        <sz val="11"/>
        <rFont val="Calibri"/>
        <family val="2"/>
      </rPr>
      <t>2</t>
    </r>
  </si>
  <si>
    <r>
      <t>X</t>
    </r>
    <r>
      <rPr>
        <vertAlign val="superscript"/>
        <sz val="11"/>
        <rFont val="Calibri"/>
        <family val="2"/>
      </rPr>
      <t>3</t>
    </r>
  </si>
  <si>
    <t>% Y (calc.; linear)</t>
  </si>
  <si>
    <t>% Y (calc.; quadratic)</t>
  </si>
  <si>
    <t>% Y (calc.; cubic)</t>
  </si>
  <si>
    <t>E+ Coefficients</t>
  </si>
  <si>
    <t>m1</t>
  </si>
  <si>
    <t>b</t>
  </si>
  <si>
    <t>m2</t>
  </si>
  <si>
    <t>m3</t>
  </si>
  <si>
    <t>C1, C2, C3
 ….Min, Max</t>
  </si>
  <si>
    <t>* per manufacturer data</t>
  </si>
  <si>
    <t>EIR  = 1/COP = C(Toa, Twb_cc) x D(CFMcc) x 1/COPnom</t>
  </si>
  <si>
    <t>In Use</t>
  </si>
  <si>
    <t>Copy Values only!</t>
  </si>
  <si>
    <t>VRFfc Htg Capacity f(Toa)</t>
  </si>
  <si>
    <t>VRFfc Clg Capacity f(Toa)</t>
  </si>
  <si>
    <t>Toa (X)</t>
  </si>
  <si>
    <t>% Capacity (Y)*</t>
  </si>
  <si>
    <t>Minimum Toa (C )</t>
  </si>
  <si>
    <t>Maximum Toa (C )</t>
  </si>
  <si>
    <r>
      <rPr>
        <b/>
        <u/>
        <sz val="24"/>
        <rFont val="Calibri"/>
        <family val="2"/>
      </rPr>
      <t>DISPLAY</t>
    </r>
    <r>
      <rPr>
        <u/>
        <sz val="24"/>
        <rFont val="Calibri"/>
        <family val="2"/>
      </rPr>
      <t xml:space="preserve"> Linear, Quadratic or Cubic Curves</t>
    </r>
  </si>
  <si>
    <r>
      <rPr>
        <b/>
        <sz val="16"/>
        <rFont val="Calibri"/>
        <family val="2"/>
      </rPr>
      <t>DISPLAY</t>
    </r>
    <r>
      <rPr>
        <sz val="14"/>
        <rFont val="Calibri"/>
        <family val="2"/>
      </rPr>
      <t xml:space="preserve"> Curve for: </t>
    </r>
  </si>
  <si>
    <t>% Y</t>
  </si>
  <si>
    <t>HP EIR f(temp)</t>
  </si>
  <si>
    <t>VRFfancoil Htg Capacity f(Toa)</t>
  </si>
  <si>
    <t>DX Clg EIR f(airflow)</t>
  </si>
  <si>
    <t>PTACClg EIR f(airflow)</t>
  </si>
  <si>
    <t>ASHRAE 90.1 VSD pump</t>
  </si>
  <si>
    <t>HPHtg Cap f(temp)</t>
  </si>
  <si>
    <t>Temp (X)</t>
  </si>
  <si>
    <t>Capacity (Y)</t>
  </si>
  <si>
    <t>% Act / Rated Airflow (X)</t>
  </si>
  <si>
    <t>EIR (Y)</t>
  </si>
  <si>
    <t>% Flow (X)</t>
  </si>
  <si>
    <t>% Power (Y)*</t>
  </si>
  <si>
    <t>C1</t>
  </si>
  <si>
    <t>C2</t>
  </si>
  <si>
    <t>C3</t>
  </si>
  <si>
    <t>C4</t>
  </si>
  <si>
    <t>Minimum x</t>
  </si>
  <si>
    <t>Minimum Flow %</t>
  </si>
  <si>
    <t>Maximum x</t>
  </si>
  <si>
    <t>Maximum Flow %</t>
  </si>
  <si>
    <t>MBH</t>
  </si>
  <si>
    <t>Nominal EIR</t>
  </si>
  <si>
    <t>GPM</t>
  </si>
  <si>
    <t>VRFfancoil Htg Capacity f(airflow)</t>
  </si>
  <si>
    <t>DX Clg Capacity f(airflow)</t>
  </si>
  <si>
    <t>VRFoa ClgEIR f(PLRlo)</t>
  </si>
  <si>
    <t>VRFoa HtgEIR f(PLRlo)</t>
  </si>
  <si>
    <t>PTACClg Capacity f(airflow)</t>
  </si>
  <si>
    <t>% Capacity (Y)</t>
  </si>
  <si>
    <t>PLR (X)</t>
  </si>
  <si>
    <t>Nominal MBH</t>
  </si>
  <si>
    <t>Nominal Cooling MBH</t>
  </si>
  <si>
    <t>Nominal Cooling EIR</t>
  </si>
  <si>
    <t>Nominal Heating EIR</t>
  </si>
  <si>
    <t>Check!    f(T)??</t>
  </si>
  <si>
    <t>DX Clg PLF Correlation</t>
  </si>
  <si>
    <t>VRFoa ClgEIR f(PLRhi)</t>
  </si>
  <si>
    <t>VRFoa HtgEIR f(PLRhi)</t>
  </si>
  <si>
    <t>PTACClg PLF Correlation</t>
  </si>
  <si>
    <t>% PLF (X)</t>
  </si>
  <si>
    <t>?? (Y)</t>
  </si>
  <si>
    <t>Not Used</t>
  </si>
  <si>
    <t>VRFoa ClgPLFcorr f(???)</t>
  </si>
  <si>
    <t>VRFoa HtgPLFcorr f(???)</t>
  </si>
  <si>
    <t>PLF (X)</t>
  </si>
  <si>
    <t>??? (Y)</t>
  </si>
  <si>
    <t>??</t>
  </si>
  <si>
    <t>VRFoa ClgCombRatio</t>
  </si>
  <si>
    <t>VRFoa HtgCombRatio</t>
  </si>
  <si>
    <t>Indoor / Outdoor (X)</t>
  </si>
  <si>
    <t>VRFoa Cap'y (Y)</t>
  </si>
  <si>
    <r>
      <rPr>
        <b/>
        <sz val="18"/>
        <color indexed="10"/>
        <rFont val="Calibri"/>
        <family val="2"/>
      </rPr>
      <t>Derive</t>
    </r>
    <r>
      <rPr>
        <b/>
        <sz val="11"/>
        <color indexed="10"/>
        <rFont val="Calibri"/>
        <family val="2"/>
      </rPr>
      <t xml:space="preserve"> </t>
    </r>
    <r>
      <rPr>
        <b/>
        <sz val="11"/>
        <rFont val="Calibri"/>
        <family val="2"/>
      </rPr>
      <t>bi-quadratic coefficients</t>
    </r>
  </si>
  <si>
    <t>m5</t>
  </si>
  <si>
    <t>m4</t>
  </si>
  <si>
    <t>Cooling Capacity - f(WBrm, Toa)</t>
  </si>
  <si>
    <t>DX Clg Capacity - f(WBrm, Toa)</t>
  </si>
  <si>
    <t>DX Clg EIR - f(WBrm, Toa)</t>
  </si>
  <si>
    <t>DOAS DX Clg Capacity - f(WBrm, Toa)</t>
  </si>
  <si>
    <r>
      <t>Y</t>
    </r>
    <r>
      <rPr>
        <vertAlign val="superscript"/>
        <sz val="11"/>
        <rFont val="Calibri"/>
        <family val="2"/>
      </rPr>
      <t>2</t>
    </r>
  </si>
  <si>
    <t>X * Y</t>
  </si>
  <si>
    <t>% Capacity*</t>
  </si>
  <si>
    <t>% Capacity (calc.)</t>
  </si>
  <si>
    <t>WBent
(X)</t>
  </si>
  <si>
    <t>Toa (Y)</t>
  </si>
  <si>
    <t>WBent
"X"</t>
  </si>
  <si>
    <t>Toa ("Y")</t>
  </si>
  <si>
    <t>Calculated</t>
  </si>
  <si>
    <t>C5</t>
  </si>
  <si>
    <t>C6</t>
  </si>
  <si>
    <t>Min (C)</t>
  </si>
  <si>
    <t>Max (C)</t>
  </si>
  <si>
    <t>Min</t>
  </si>
  <si>
    <t>Max</t>
  </si>
  <si>
    <t>WB_ent coil</t>
  </si>
  <si>
    <t>X</t>
  </si>
  <si>
    <t>Toa</t>
  </si>
  <si>
    <t>Y</t>
  </si>
  <si>
    <r>
      <rPr>
        <b/>
        <u/>
        <sz val="24"/>
        <rFont val="Calibri"/>
        <family val="2"/>
      </rPr>
      <t>DISPLAY</t>
    </r>
    <r>
      <rPr>
        <u/>
        <sz val="24"/>
        <rFont val="Calibri"/>
        <family val="2"/>
      </rPr>
      <t xml:space="preserve"> Bi-Quadratic Curves</t>
    </r>
  </si>
  <si>
    <t>`</t>
  </si>
  <si>
    <t/>
  </si>
  <si>
    <r>
      <rPr>
        <b/>
        <sz val="18"/>
        <color indexed="10"/>
        <rFont val="Calibri"/>
        <family val="2"/>
      </rPr>
      <t xml:space="preserve">DISPLAY </t>
    </r>
    <r>
      <rPr>
        <b/>
        <sz val="11"/>
        <rFont val="Calibri"/>
        <family val="2"/>
      </rPr>
      <t>bi-quadratic curve for:</t>
    </r>
  </si>
  <si>
    <t>PTACRht Capacity - f(WBrm, Toa)</t>
  </si>
  <si>
    <t>VRFoa ClgLength - f(WBrm, Toa)</t>
  </si>
  <si>
    <t>PTACClg Capacity - f(WBrm, Toa)</t>
  </si>
  <si>
    <t>DXRht Capacity - f(WBrm, Toa)</t>
  </si>
  <si>
    <t>WBrm (X)</t>
  </si>
  <si>
    <t>% Capacity</t>
  </si>
  <si>
    <t>% Nominal</t>
  </si>
  <si>
    <t>??? (X)</t>
  </si>
  <si>
    <t>-.0313</t>
  </si>
  <si>
    <t>-.00273</t>
  </si>
  <si>
    <t>-.000055</t>
  </si>
  <si>
    <t>-.000063</t>
  </si>
  <si>
    <t>Legend</t>
  </si>
  <si>
    <t>In use</t>
  </si>
  <si>
    <t>PTACRht EIR - f(WBrm, Toa)</t>
  </si>
  <si>
    <t>PTACClg EIR - f(WBrm, Toa)</t>
  </si>
  <si>
    <t>DXRht EIR - f(WBrm, Toa)</t>
  </si>
  <si>
    <t>-.00013</t>
  </si>
  <si>
    <t>-.001677</t>
  </si>
  <si>
    <r>
      <rPr>
        <b/>
        <u/>
        <sz val="24"/>
        <rFont val="Calibri"/>
        <family val="2"/>
      </rPr>
      <t>DISPLAY</t>
    </r>
    <r>
      <rPr>
        <u/>
        <sz val="24"/>
        <rFont val="Calibri"/>
        <family val="2"/>
      </rPr>
      <t xml:space="preserve"> VRF Bi-Quadratic Curves</t>
    </r>
  </si>
  <si>
    <t>In Use - Low</t>
  </si>
  <si>
    <t>In Use - Boundary</t>
  </si>
  <si>
    <t>In Use - High</t>
  </si>
  <si>
    <t>VRFoa ClgCap'yLo - f(WBrm, Toa)</t>
  </si>
  <si>
    <t>VRFoa ClgBound f(Toa)</t>
  </si>
  <si>
    <t>VRFoa ClgCap'yHi - f(WBrm, Toa)</t>
  </si>
  <si>
    <t>Wbent (X)</t>
  </si>
  <si>
    <t>a</t>
  </si>
  <si>
    <t>c</t>
  </si>
  <si>
    <t>WBrm1</t>
  </si>
  <si>
    <t>WBrm2</t>
  </si>
  <si>
    <t>VRFoa ClgCapyBound f(Toa)</t>
  </si>
  <si>
    <t>WBrm
(X)</t>
  </si>
  <si>
    <t>VRFoa ClgEIRLo - f(WBrm, Toa)</t>
  </si>
  <si>
    <t>VRFoa ClgEIRBound f(Toa)</t>
  </si>
  <si>
    <t>VRFoa ClgEIRHi - f(WBrm, Toa)</t>
  </si>
  <si>
    <t>VRFoa HtgCap'yLo - f(WBrm, Toa)</t>
  </si>
  <si>
    <t>VRFoa HtgCapyBound f(Toa)</t>
  </si>
  <si>
    <t>VRFoa HtgCap'yHi - f(WBrm, Toa)</t>
  </si>
  <si>
    <t>VRFoa HtgEIRLo - f(WBrm, Toa)</t>
  </si>
  <si>
    <t>VRFoa HtgEIRBound f(Toa)</t>
  </si>
  <si>
    <t>VRFoa HtgEIRHi - f(WBrm, Toa)</t>
  </si>
  <si>
    <r>
      <t xml:space="preserve">Part Load Performance - </t>
    </r>
    <r>
      <rPr>
        <b/>
        <sz val="11"/>
        <color rgb="FF0000FF"/>
        <rFont val="Calibri"/>
        <family val="2"/>
      </rPr>
      <t>Boiler</t>
    </r>
    <r>
      <rPr>
        <b/>
        <sz val="11"/>
        <rFont val="Calibri"/>
        <family val="2"/>
      </rPr>
      <t xml:space="preserve">  (Quadratic)</t>
    </r>
  </si>
  <si>
    <t>P-K MACH 
(140F EWT)</t>
  </si>
  <si>
    <t>P-K MACH 
(120F EWT)</t>
  </si>
  <si>
    <t>P-K MACH 
(100F EWT)</t>
  </si>
  <si>
    <t>P-K MACH 
(80F EWT)</t>
  </si>
  <si>
    <t>P-K Modu-Fire 
(Min EWT)</t>
  </si>
  <si>
    <t>P-K Modu-Fire (Max EWT)</t>
  </si>
  <si>
    <t xml:space="preserve"> </t>
  </si>
  <si>
    <t>DOE Unit Htr / Furnace</t>
  </si>
  <si>
    <t>DOE Boiler</t>
  </si>
  <si>
    <t>BPT</t>
  </si>
  <si>
    <t>DOE-2 PLF coefficients</t>
  </si>
  <si>
    <t>Part Load Performance - Boiler</t>
  </si>
  <si>
    <t>PLR ("x1")</t>
  </si>
  <si>
    <t>PLR^2 ("x2")</t>
  </si>
  <si>
    <t>PLF ("y")</t>
  </si>
  <si>
    <t>Calc.  PLF</t>
  </si>
  <si>
    <t>Efficiency</t>
  </si>
  <si>
    <t>DOE</t>
  </si>
  <si>
    <t>C</t>
  </si>
  <si>
    <t>x1</t>
  </si>
  <si>
    <t>x2</t>
  </si>
  <si>
    <t>UH / Furnace</t>
  </si>
  <si>
    <t>Boiler</t>
  </si>
  <si>
    <t>FuelUse =</t>
  </si>
  <si>
    <t>Load</t>
  </si>
  <si>
    <t>=</t>
  </si>
  <si>
    <t>Effy x PLFe+</t>
  </si>
  <si>
    <t>PLFdoe</t>
  </si>
  <si>
    <t>E+ Format</t>
  </si>
  <si>
    <t>PLFe+ =</t>
  </si>
  <si>
    <t>PLR</t>
  </si>
  <si>
    <t>PLR =</t>
  </si>
  <si>
    <r>
      <t xml:space="preserve">Part Load Ratio = </t>
    </r>
    <r>
      <rPr>
        <u/>
        <sz val="11"/>
        <rFont val="Calibri"/>
        <family val="2"/>
      </rPr>
      <t>Bldg</t>
    </r>
    <r>
      <rPr>
        <sz val="11"/>
        <rFont val="Calibri"/>
        <family val="2"/>
      </rPr>
      <t>Load / Capy of Boiler</t>
    </r>
  </si>
  <si>
    <t>Notes:</t>
  </si>
  <si>
    <t>Modu-fire boilers have a straight line combustion efficiency vs PLR in Mfr literature.</t>
  </si>
  <si>
    <t>slope (m1 / C2)</t>
  </si>
  <si>
    <t>PLF =</t>
  </si>
  <si>
    <t>Part Load Factor = Efficiency modifier</t>
  </si>
  <si>
    <t>MACH boilers appear to have a quadratic relationship between combustion efficiency and PLR</t>
  </si>
  <si>
    <t>Y-intercept (b / C1)</t>
  </si>
  <si>
    <t>Fuel used =</t>
  </si>
  <si>
    <r>
      <t xml:space="preserve">Load / (Theoretical </t>
    </r>
    <r>
      <rPr>
        <sz val="14"/>
        <rFont val="Calibri"/>
        <family val="2"/>
      </rPr>
      <t>η</t>
    </r>
    <r>
      <rPr>
        <sz val="8.25"/>
        <rFont val="Calibri"/>
        <family val="2"/>
      </rPr>
      <t xml:space="preserve"> </t>
    </r>
    <r>
      <rPr>
        <sz val="11"/>
        <rFont val="Calibri"/>
        <family val="2"/>
      </rPr>
      <t>x PLF)</t>
    </r>
  </si>
  <si>
    <r>
      <t xml:space="preserve">For calculation of the Energy Plus "PLF", theoretical efficiency is assumed to be the efficiency at </t>
    </r>
    <r>
      <rPr>
        <u/>
        <sz val="11"/>
        <rFont val="Calibri"/>
        <family val="2"/>
      </rPr>
      <t>100%</t>
    </r>
    <r>
      <rPr>
        <sz val="11"/>
        <rFont val="Calibri"/>
        <family val="2"/>
      </rPr>
      <t xml:space="preserve"> load</t>
    </r>
  </si>
  <si>
    <r>
      <t xml:space="preserve">Part Load Performance - </t>
    </r>
    <r>
      <rPr>
        <b/>
        <sz val="11"/>
        <color indexed="12"/>
        <rFont val="Calibri"/>
        <family val="2"/>
      </rPr>
      <t xml:space="preserve">Variable Speed Pump </t>
    </r>
    <r>
      <rPr>
        <b/>
        <sz val="11"/>
        <rFont val="Calibri"/>
        <family val="2"/>
      </rPr>
      <t xml:space="preserve"> (Cubic)</t>
    </r>
  </si>
  <si>
    <t>% GPM ("x1")</t>
  </si>
  <si>
    <t>% GPM^2 ("x2")</t>
  </si>
  <si>
    <t>% GPM^3 ("x3")</t>
  </si>
  <si>
    <t>Head</t>
  </si>
  <si>
    <t>Watts</t>
  </si>
  <si>
    <t>%Power ("y")</t>
  </si>
  <si>
    <t>Calc.  "y"</t>
  </si>
  <si>
    <t>This VSD</t>
  </si>
  <si>
    <t>90.1 VSD</t>
  </si>
  <si>
    <t>Note:</t>
  </si>
  <si>
    <t>PartLoadRatio = VolFlowRate / PumpEquip(PumpNum)%NomVolFlowRate</t>
  </si>
  <si>
    <t>Design ΔP:</t>
  </si>
  <si>
    <t>ft. H2O</t>
  </si>
  <si>
    <t>Min. req'd  P:</t>
  </si>
  <si>
    <t>psig</t>
  </si>
  <si>
    <r>
      <t>Part Load Performance -</t>
    </r>
    <r>
      <rPr>
        <b/>
        <sz val="11"/>
        <color indexed="12"/>
        <rFont val="Calibri"/>
        <family val="2"/>
      </rPr>
      <t xml:space="preserve"> "Riding the Curve" Pump </t>
    </r>
    <r>
      <rPr>
        <b/>
        <sz val="11"/>
        <rFont val="Calibri"/>
        <family val="2"/>
      </rPr>
      <t xml:space="preserve"> (Quadratic)</t>
    </r>
  </si>
  <si>
    <t>Head ("y")</t>
  </si>
  <si>
    <t>Watts ("y")</t>
  </si>
  <si>
    <t>RideCurve</t>
  </si>
  <si>
    <t>"Riding the Curve" assumes a nominally "flat" curve with block-tight pressure of ~125% of design,</t>
  </si>
  <si>
    <t>and similar to ASHRAE 2004 p. 39.8, Fig 24</t>
  </si>
  <si>
    <r>
      <t xml:space="preserve">Part Load Performance - </t>
    </r>
    <r>
      <rPr>
        <b/>
        <sz val="11"/>
        <color indexed="12"/>
        <rFont val="Calibri"/>
        <family val="2"/>
      </rPr>
      <t xml:space="preserve">Variable Speed Fan </t>
    </r>
    <r>
      <rPr>
        <b/>
        <sz val="11"/>
        <rFont val="Calibri"/>
        <family val="2"/>
      </rPr>
      <t xml:space="preserve"> (Cubic)</t>
    </r>
  </si>
  <si>
    <t>% CFM 
("x1")</t>
  </si>
  <si>
    <t>% CFM^2 
("x2")</t>
  </si>
  <si>
    <t>% CFM^3 
("x3")</t>
  </si>
  <si>
    <t>% Power ("y")</t>
  </si>
  <si>
    <t>-0.0988</t>
  </si>
  <si>
    <r>
      <t xml:space="preserve">Note:  Coil delta P is normally a </t>
    </r>
    <r>
      <rPr>
        <u/>
        <sz val="11"/>
        <color rgb="FFFF0000"/>
        <rFont val="Calibri"/>
        <family val="2"/>
      </rPr>
      <t>linear</t>
    </r>
    <r>
      <rPr>
        <sz val="11"/>
        <color rgb="FFFF0000"/>
        <rFont val="Calibri"/>
        <family val="2"/>
      </rPr>
      <t xml:space="preserve"> function, not quadratic.  Try to get a curve which reflects this.</t>
    </r>
  </si>
  <si>
    <t>in. H2O</t>
  </si>
  <si>
    <t>Fan mechanical efficiency:</t>
  </si>
  <si>
    <t>Fan Flow:</t>
  </si>
  <si>
    <r>
      <t>Part Load Performance -</t>
    </r>
    <r>
      <rPr>
        <b/>
        <sz val="11"/>
        <color indexed="12"/>
        <rFont val="Calibri"/>
        <family val="2"/>
      </rPr>
      <t xml:space="preserve"> Mitsubishi VRF</t>
    </r>
  </si>
  <si>
    <t>% Part Load ("x1")</t>
  </si>
  <si>
    <t>% Part Load^2 ("x2")</t>
  </si>
  <si>
    <t>% Part Load^3 ("x3")</t>
  </si>
  <si>
    <t>Example Biquadratic Curve Fit using LINEST function</t>
  </si>
  <si>
    <t>M. J. Witte, GARD Analytics, Inc., February 2005</t>
  </si>
  <si>
    <t xml:space="preserve">1.  There must be an adequate range of data points to achieve a valid fit.  Extrapolation of a bi-quadratic is usually invalid, so the range of temperatures for both variables must be </t>
  </si>
  <si>
    <t>adequately represented in the data.  And there must be sufficient points within the range to define the appropriate shape.</t>
  </si>
  <si>
    <t>2.  At nominal conditions, the curve value must be exact. For example, a chiller eir-ft curve should be 1.0 at the user-specified design water temperatures.  It is often the case that</t>
  </si>
  <si>
    <t>the resulting curve coefficients may produce a result which is not exactly 1.0 at the design conditions. If it is a very small error, it may be sufficient to simply adjust the constant</t>
  </si>
  <si>
    <t>coefficient and shift the entire curve.  If it is more significant, it may be necesssary to pull the curve toward the design point by adding duplicating the data points at and near the</t>
  </si>
  <si>
    <t>design point to give them more weight.</t>
  </si>
  <si>
    <t>3.  Regardless of the method used to obtain the coefficients, it is important to evalute and plot the curve values over a range of input conditions to make sure the curve fit makes</t>
  </si>
  <si>
    <t>sense.  Curves which cross each other or curve down and then up are probably invalid.</t>
  </si>
  <si>
    <t>Chiller PLR</t>
  </si>
  <si>
    <t>From Richard Raustad:</t>
  </si>
  <si>
    <t>&gt; For example Output = X + X^2 + Y + Y^2 + XY</t>
  </si>
  <si>
    <t>&gt;</t>
  </si>
  <si>
    <t>&gt; Set up columns in a spreadsheet to represent the independent variables</t>
  </si>
  <si>
    <t>&gt; Column A, B, C, D, E, F</t>
  </si>
  <si>
    <t>&gt; Output, X,  X^2,  Y,  Y^2,  XY</t>
  </si>
  <si>
    <t>&gt; where column:</t>
  </si>
  <si>
    <t>&gt; A = Output</t>
  </si>
  <si>
    <t>&gt; B = X (for example leaving evaporator temp)</t>
  </si>
  <si>
    <t>&gt; C = X^2</t>
  </si>
  <si>
    <t>&gt; D = Y (for example entering condenser temp)</t>
  </si>
  <si>
    <t>&gt; E = Y^2</t>
  </si>
  <si>
    <t>&gt; F = XY</t>
  </si>
  <si>
    <t>You actually multiply out the ^2 terms and cross-product in the</t>
  </si>
  <si>
    <t>spreadsheet. Then perform a regression analysis on this data. Select</t>
  </si>
  <si>
    <t>Output as the regression input Y range (e.g., A2..A20) and "ALL independent</t>
  </si>
  <si>
    <t>variables" as the regression input X range (e.g. B2..F20). You will get the</t>
  </si>
  <si>
    <t>coefficients for B through F, there will be 1 additional coefficient if</t>
  </si>
  <si>
    <t>Output does not cross the X axis at 0 (always the first coefficient)</t>
  </si>
  <si>
    <t>. The t Stat in the regression statistics will be greater than 2 if that</t>
  </si>
  <si>
    <t>independent term is significant (i.e.., helps describe changes to the</t>
  </si>
  <si>
    <t>dependent variable [Output in this example]).</t>
  </si>
  <si>
    <t xml:space="preserve">In Excel this is found on the Tools menu under Data Analysis. Then </t>
  </si>
  <si>
    <t xml:space="preserve">choose Regression. If Data Analysis does not show on the Tools menu, it </t>
  </si>
  <si>
    <t>must be installed from the original CD.</t>
  </si>
  <si>
    <t>&gt; Example:</t>
  </si>
  <si>
    <t>&gt; 1.2 2 4 6 36 12</t>
  </si>
  <si>
    <t>&gt; 1.6 3 9 5 25 15</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</si>
</sst>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44" formatCode="_(&quot;$&quot;* #,##0.00_);_(&quot;$&quot;* \(#,##0.00\);_(&quot;$&quot;* &quot;-&quot;??_);_(@_)"/>
    <numFmt numFmtId="43" formatCode="_(* #,##0.00_);_(* \(#,##0.00\);_(* &quot;-&quot;??_);_(@_)"/>
    <numFmt numFmtId="164" formatCode="0.0000"/>
    <numFmt numFmtId="165" formatCode="0.00000000"/>
    <numFmt numFmtId="166" formatCode="0.0000000000"/>
    <numFmt numFmtId="167" formatCode="0.000"/>
    <numFmt numFmtId="168" formatCode="0.0"/>
    <numFmt numFmtId="169" formatCode="0.0000000000000000"/>
    <numFmt numFmtId="170" formatCode="&quot;r^2 =&quot;0.0%"/>
    <numFmt numFmtId="171" formatCode="0.000E+00"/>
    <numFmt numFmtId="172" formatCode="0.00000"/>
    <numFmt numFmtId="173" formatCode="0.0%"/>
    <numFmt numFmtId="174" formatCode="0.000000"/>
    <numFmt numFmtId="175" formatCode="#,##0.000_);[Red]\(#,##0.000\)"/>
    <numFmt numFmtId="176" formatCode="&quot;$&quot;#,##0"/>
    <numFmt numFmtId="177" formatCode="&quot;$&quot;#,##0.00"/>
    <numFmt numFmtId="178" formatCode="m/d/yy"/>
    <numFmt numFmtId="179" formatCode="mmm\-yyyy"/>
    <numFmt numFmtId="180" formatCode="d\-mmm\-yyyy"/>
    <numFmt numFmtId="181" formatCode="_M@"/>
    <numFmt numFmtId="182" formatCode="_M_M@"/>
    <numFmt numFmtId="183" formatCode="_M_M_M@"/>
    <numFmt numFmtId="184" formatCode="_M_M_M_M@"/>
    <numFmt numFmtId="185" formatCode="#,##0.0"/>
    <numFmt numFmtId="186" formatCode="#,##0.000"/>
    <numFmt numFmtId="187" formatCode="#,##0.0000"/>
    <numFmt numFmtId="188" formatCode="#,##0\ &quot;kW&quot;"/>
  </numFmts>
  <fonts count="51" x14ac:knownFonts="1">
    <font>
      <sz val="11"/>
      <color theme="1"/>
      <name val="Calibri"/>
      <family val="2"/>
      <scheme val="minor"/>
    </font>
    <font>
      <b/>
      <sz val="11"/>
      <color theme="1"/>
      <name val="Calibri"/>
      <family val="2"/>
      <scheme val="minor"/>
    </font>
    <font>
      <b/>
      <sz val="12"/>
      <color rgb="FF0000CC"/>
      <name val="Calibri"/>
      <family val="2"/>
      <scheme val="minor"/>
    </font>
    <font>
      <sz val="11"/>
      <name val="Calibri"/>
      <family val="2"/>
      <scheme val="minor"/>
    </font>
    <font>
      <sz val="14"/>
      <color rgb="FF0000CC"/>
      <name val="Calibri"/>
      <family val="2"/>
      <scheme val="minor"/>
    </font>
    <font>
      <sz val="11"/>
      <color rgb="FF0000CC"/>
      <name val="Calibri"/>
      <family val="2"/>
      <scheme val="minor"/>
    </font>
    <font>
      <sz val="9"/>
      <color indexed="81"/>
      <name val="Tahoma"/>
      <family val="2"/>
    </font>
    <font>
      <b/>
      <sz val="16"/>
      <color rgb="FF0000FF"/>
      <name val="Calibri"/>
      <family val="2"/>
    </font>
    <font>
      <b/>
      <sz val="14"/>
      <color rgb="FF0000FF"/>
      <name val="Calibri"/>
      <family val="2"/>
    </font>
    <font>
      <sz val="11"/>
      <color theme="1"/>
      <name val="Calibri"/>
      <family val="2"/>
    </font>
    <font>
      <sz val="11"/>
      <color rgb="FF0000FF"/>
      <name val="Calibri"/>
      <family val="2"/>
      <scheme val="minor"/>
    </font>
    <font>
      <b/>
      <sz val="11"/>
      <name val="Calibri"/>
      <family val="2"/>
      <scheme val="minor"/>
    </font>
    <font>
      <b/>
      <sz val="11"/>
      <color rgb="FF0000FF"/>
      <name val="Calibri"/>
      <family val="2"/>
      <scheme val="minor"/>
    </font>
    <font>
      <sz val="11"/>
      <color theme="1"/>
      <name val="Calibri"/>
      <family val="2"/>
      <scheme val="minor"/>
    </font>
    <font>
      <sz val="10"/>
      <name val="Century Schoolbook"/>
      <family val="1"/>
    </font>
    <font>
      <u/>
      <sz val="24"/>
      <name val="Calibri"/>
      <family val="2"/>
    </font>
    <font>
      <b/>
      <u/>
      <sz val="24"/>
      <name val="Calibri"/>
      <family val="2"/>
    </font>
    <font>
      <sz val="11"/>
      <name val="Calibri"/>
      <family val="2"/>
    </font>
    <font>
      <sz val="10"/>
      <name val="Calibri"/>
      <family val="2"/>
    </font>
    <font>
      <b/>
      <sz val="14"/>
      <name val="Calibri"/>
      <family val="2"/>
    </font>
    <font>
      <sz val="14"/>
      <name val="Calibri"/>
      <family val="2"/>
    </font>
    <font>
      <b/>
      <sz val="16"/>
      <name val="Calibri"/>
      <family val="2"/>
    </font>
    <font>
      <vertAlign val="superscript"/>
      <sz val="11"/>
      <name val="Calibri"/>
      <family val="2"/>
    </font>
    <font>
      <b/>
      <sz val="11"/>
      <color theme="6" tint="-0.249977111117893"/>
      <name val="Calibri"/>
      <family val="2"/>
    </font>
    <font>
      <b/>
      <sz val="11"/>
      <color rgb="FFFF0000"/>
      <name val="Calibri"/>
      <family val="2"/>
    </font>
    <font>
      <b/>
      <sz val="11"/>
      <color theme="3" tint="0.39997558519241921"/>
      <name val="Calibri"/>
      <family val="2"/>
    </font>
    <font>
      <b/>
      <sz val="11"/>
      <color theme="7" tint="-0.249977111117893"/>
      <name val="Calibri"/>
      <family val="2"/>
    </font>
    <font>
      <b/>
      <sz val="11"/>
      <name val="Calibri"/>
      <family val="2"/>
    </font>
    <font>
      <sz val="11"/>
      <color indexed="12"/>
      <name val="Calibri"/>
      <family val="2"/>
    </font>
    <font>
      <b/>
      <sz val="10"/>
      <name val="Calibri"/>
      <family val="2"/>
    </font>
    <font>
      <sz val="11"/>
      <color rgb="FFFF0000"/>
      <name val="Calibri"/>
      <family val="2"/>
    </font>
    <font>
      <sz val="10"/>
      <color rgb="FF0000FF"/>
      <name val="Calibri"/>
      <family val="2"/>
    </font>
    <font>
      <sz val="11"/>
      <color rgb="FF0000FF"/>
      <name val="Calibri"/>
      <family val="2"/>
    </font>
    <font>
      <b/>
      <sz val="18"/>
      <color indexed="10"/>
      <name val="Calibri"/>
      <family val="2"/>
    </font>
    <font>
      <b/>
      <sz val="11"/>
      <color indexed="10"/>
      <name val="Calibri"/>
      <family val="2"/>
    </font>
    <font>
      <b/>
      <sz val="11"/>
      <color indexed="12"/>
      <name val="Calibri"/>
      <family val="2"/>
    </font>
    <font>
      <sz val="10"/>
      <color indexed="12"/>
      <name val="Calibri"/>
      <family val="2"/>
    </font>
    <font>
      <sz val="11"/>
      <color theme="7" tint="-0.249977111117893"/>
      <name val="Calibri"/>
      <family val="2"/>
    </font>
    <font>
      <b/>
      <sz val="11"/>
      <color rgb="FF0000FF"/>
      <name val="Calibri"/>
      <family val="2"/>
    </font>
    <font>
      <u/>
      <sz val="11"/>
      <name val="Calibri"/>
      <family val="2"/>
    </font>
    <font>
      <sz val="8.25"/>
      <name val="Calibri"/>
      <family val="2"/>
    </font>
    <font>
      <u/>
      <sz val="11"/>
      <color rgb="FFFF0000"/>
      <name val="Calibri"/>
      <family val="2"/>
    </font>
    <font>
      <sz val="12"/>
      <name val="Calibri"/>
      <family val="2"/>
    </font>
    <font>
      <b/>
      <sz val="10"/>
      <color indexed="12"/>
      <name val="Calibri"/>
      <family val="2"/>
    </font>
    <font>
      <i/>
      <sz val="10"/>
      <name val="Calibri"/>
      <family val="2"/>
    </font>
    <font>
      <sz val="11"/>
      <color indexed="10"/>
      <name val="Calibri"/>
      <family val="2"/>
    </font>
    <font>
      <sz val="12"/>
      <name val="Times New Roman"/>
      <family val="1"/>
    </font>
    <font>
      <sz val="11"/>
      <color indexed="9"/>
      <name val="Impact"/>
      <family val="2"/>
    </font>
    <font>
      <sz val="8"/>
      <color indexed="8"/>
      <name val="MS Sans Serif"/>
      <family val="2"/>
    </font>
    <font>
      <sz val="10"/>
      <name val="Arial"/>
      <family val="2"/>
    </font>
    <font>
      <sz val="11"/>
      <color indexed="8"/>
      <name val="Calibri"/>
      <family val="2"/>
    </font>
  </fonts>
  <fills count="32">
    <fill>
      <patternFill patternType="none"/>
    </fill>
    <fill>
      <patternFill patternType="gray125"/>
    </fill>
    <fill>
      <patternFill patternType="solid">
        <fgColor theme="0" tint="-0.14999847407452621"/>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indexed="43"/>
        <bgColor indexed="64"/>
      </patternFill>
    </fill>
    <fill>
      <patternFill patternType="solid">
        <fgColor indexed="5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rgb="FFFFFF99"/>
        <bgColor indexed="64"/>
      </patternFill>
    </fill>
    <fill>
      <patternFill patternType="solid">
        <fgColor indexed="13"/>
        <bgColor indexed="64"/>
      </patternFill>
    </fill>
    <fill>
      <patternFill patternType="solid">
        <fgColor indexed="46"/>
        <bgColor indexed="64"/>
      </patternFill>
    </fill>
    <fill>
      <patternFill patternType="solid">
        <fgColor indexed="23"/>
        <bgColor indexed="64"/>
      </patternFill>
    </fill>
    <fill>
      <patternFill patternType="solid">
        <fgColor indexed="22"/>
        <bgColor indexed="64"/>
      </patternFill>
    </fill>
    <fill>
      <patternFill patternType="solid">
        <fgColor indexed="55"/>
        <bgColor indexed="64"/>
      </patternFill>
    </fill>
  </fills>
  <borders count="20">
    <border>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medium">
        <color indexed="22"/>
      </right>
      <top/>
      <bottom/>
      <diagonal/>
    </border>
  </borders>
  <cellStyleXfs count="66">
    <xf numFmtId="0" fontId="0" fillId="0" borderId="0"/>
    <xf numFmtId="0" fontId="14" fillId="0" borderId="0"/>
    <xf numFmtId="9" fontId="14" fillId="0" borderId="0" applyFont="0" applyFill="0" applyBorder="0" applyAlignment="0" applyProtection="0"/>
    <xf numFmtId="43" fontId="14" fillId="0" borderId="0" applyFont="0" applyFill="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6" fontId="46" fillId="0" borderId="0" applyFont="0" applyFill="0" applyBorder="0" applyAlignment="0" applyProtection="0"/>
    <xf numFmtId="177" fontId="46" fillId="0" borderId="0" applyFont="0" applyFill="0" applyBorder="0" applyAlignment="0" applyProtection="0"/>
    <xf numFmtId="44" fontId="14" fillId="0" borderId="0" applyFont="0" applyFill="0" applyBorder="0" applyAlignment="0" applyProtection="0"/>
    <xf numFmtId="178" fontId="46" fillId="0" borderId="0" applyFont="0" applyFill="0" applyBorder="0" applyAlignment="0" applyProtection="0"/>
    <xf numFmtId="179" fontId="46" fillId="0" borderId="0" applyFont="0" applyFill="0" applyBorder="0" applyAlignment="0" applyProtection="0"/>
    <xf numFmtId="16" fontId="46" fillId="0" borderId="0" applyFont="0" applyFill="0" applyBorder="0" applyAlignment="0" applyProtection="0"/>
    <xf numFmtId="180" fontId="46" fillId="0" borderId="0" applyFont="0" applyFill="0" applyBorder="0" applyAlignment="0" applyProtection="0"/>
    <xf numFmtId="0" fontId="47" fillId="28" borderId="0" applyNumberFormat="0" applyProtection="0">
      <alignment vertical="center"/>
    </xf>
    <xf numFmtId="0" fontId="47" fillId="28" borderId="19" applyNumberFormat="0" applyProtection="0">
      <alignment vertical="center"/>
    </xf>
    <xf numFmtId="181" fontId="46" fillId="0" borderId="0" applyFont="0" applyFill="0" applyBorder="0" applyAlignment="0" applyProtection="0">
      <alignment vertical="top"/>
    </xf>
    <xf numFmtId="182" fontId="46" fillId="0" borderId="0" applyFont="0" applyFill="0" applyBorder="0" applyAlignment="0" applyProtection="0">
      <alignment vertical="top"/>
    </xf>
    <xf numFmtId="183" fontId="46" fillId="0" borderId="0" applyFont="0" applyFill="0" applyBorder="0" applyAlignment="0" applyProtection="0">
      <alignment vertical="top"/>
    </xf>
    <xf numFmtId="184" fontId="46" fillId="0" borderId="0" applyFont="0" applyFill="0" applyBorder="0" applyAlignment="0" applyProtection="0">
      <alignment vertical="top"/>
    </xf>
    <xf numFmtId="0" fontId="48" fillId="0" borderId="0" applyNumberFormat="0" applyFill="0" applyBorder="0" applyAlignment="0" applyProtection="0"/>
    <xf numFmtId="0" fontId="48" fillId="0" borderId="0" applyNumberFormat="0" applyFill="0" applyBorder="0" applyAlignment="0" applyProtection="0"/>
    <xf numFmtId="0" fontId="14" fillId="0" borderId="0"/>
    <xf numFmtId="0" fontId="49" fillId="0" borderId="0"/>
    <xf numFmtId="0" fontId="13" fillId="0" borderId="0"/>
    <xf numFmtId="0" fontId="48" fillId="0" borderId="0" applyNumberFormat="0" applyFill="0" applyBorder="0" applyAlignment="0" applyProtection="0"/>
    <xf numFmtId="0" fontId="13" fillId="0" borderId="0"/>
    <xf numFmtId="0" fontId="48" fillId="0" borderId="0" applyNumberFormat="0" applyFill="0" applyBorder="0" applyAlignment="0" applyProtection="0"/>
    <xf numFmtId="0" fontId="49" fillId="0" borderId="0"/>
    <xf numFmtId="0" fontId="13" fillId="0" borderId="0"/>
    <xf numFmtId="0" fontId="13" fillId="0" borderId="0"/>
    <xf numFmtId="0" fontId="13" fillId="0" borderId="0"/>
    <xf numFmtId="0" fontId="50" fillId="3" borderId="13" applyNumberFormat="0" applyFont="0" applyAlignment="0" applyProtection="0"/>
    <xf numFmtId="0" fontId="50" fillId="3" borderId="13" applyNumberFormat="0" applyFont="0" applyAlignment="0" applyProtection="0"/>
    <xf numFmtId="0" fontId="13" fillId="3" borderId="13" applyNumberFormat="0" applyFont="0" applyAlignment="0" applyProtection="0"/>
    <xf numFmtId="3" fontId="46" fillId="0" borderId="0" applyFont="0" applyFill="0" applyBorder="0" applyAlignment="0" applyProtection="0"/>
    <xf numFmtId="185" fontId="46" fillId="0" borderId="0" applyFont="0" applyFill="0" applyBorder="0" applyAlignment="0" applyProtection="0"/>
    <xf numFmtId="4" fontId="46" fillId="0" borderId="0" applyFont="0" applyFill="0" applyBorder="0" applyAlignment="0" applyProtection="0"/>
    <xf numFmtId="186" fontId="46" fillId="0" borderId="0" applyFont="0" applyFill="0" applyBorder="0" applyAlignment="0" applyProtection="0"/>
    <xf numFmtId="187" fontId="46" fillId="0" borderId="0" applyFont="0" applyFill="0" applyBorder="0" applyAlignment="0" applyProtection="0"/>
    <xf numFmtId="188" fontId="46" fillId="0" borderId="0" applyFont="0" applyFill="0" applyBorder="0" applyAlignment="0" applyProtection="0"/>
    <xf numFmtId="0" fontId="46" fillId="29" borderId="0" applyNumberFormat="0" applyFont="0" applyBorder="0" applyAlignment="0" applyProtection="0">
      <alignment vertical="top"/>
    </xf>
    <xf numFmtId="0" fontId="46" fillId="30" borderId="0" applyNumberFormat="0" applyFont="0" applyBorder="0" applyAlignment="0" applyProtection="0">
      <alignment vertical="top"/>
    </xf>
    <xf numFmtId="0" fontId="46" fillId="31" borderId="0" applyNumberFormat="0" applyFont="0" applyBorder="0" applyAlignment="0" applyProtection="0">
      <alignment vertical="top"/>
    </xf>
    <xf numFmtId="0" fontId="46" fillId="0" borderId="0" applyNumberFormat="0" applyFill="0" applyBorder="0" applyProtection="0">
      <alignment vertical="top"/>
    </xf>
  </cellStyleXfs>
  <cellXfs count="424">
    <xf numFmtId="0" fontId="0" fillId="0" borderId="0" xfId="0"/>
    <xf numFmtId="0" fontId="1" fillId="2" borderId="1" xfId="0" applyFont="1" applyFill="1" applyBorder="1" applyAlignment="1">
      <alignment horizontal="right" vertical="center"/>
    </xf>
    <xf numFmtId="0" fontId="2" fillId="2" borderId="2" xfId="0" applyFont="1" applyFill="1" applyBorder="1" applyAlignment="1">
      <alignment horizontal="center"/>
    </xf>
    <xf numFmtId="0" fontId="0" fillId="0" borderId="0" xfId="0" applyFill="1"/>
    <xf numFmtId="0" fontId="1" fillId="2" borderId="3" xfId="0" applyFont="1" applyFill="1" applyBorder="1" applyAlignment="1">
      <alignment horizontal="right" vertical="center"/>
    </xf>
    <xf numFmtId="0" fontId="2" fillId="2" borderId="4" xfId="0" applyFont="1" applyFill="1" applyBorder="1" applyAlignment="1">
      <alignment horizontal="center" vertical="center"/>
    </xf>
    <xf numFmtId="0" fontId="1" fillId="2" borderId="5" xfId="0" applyFont="1" applyFill="1" applyBorder="1" applyAlignment="1">
      <alignment horizontal="right" vertical="center"/>
    </xf>
    <xf numFmtId="0" fontId="2" fillId="2" borderId="6"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right"/>
    </xf>
    <xf numFmtId="0" fontId="0" fillId="0" borderId="0" xfId="0" applyFill="1" applyAlignment="1">
      <alignment horizontal="center" vertical="center"/>
    </xf>
    <xf numFmtId="0" fontId="1" fillId="2" borderId="0" xfId="0" applyFont="1" applyFill="1" applyAlignment="1">
      <alignment horizontal="right" vertical="center"/>
    </xf>
    <xf numFmtId="0" fontId="1" fillId="2" borderId="7" xfId="0" applyFont="1" applyFill="1" applyBorder="1" applyAlignment="1">
      <alignment horizontal="center" vertical="center" wrapText="1" shrinkToFit="1"/>
    </xf>
    <xf numFmtId="0" fontId="1" fillId="2" borderId="8" xfId="0" applyFont="1" applyFill="1" applyBorder="1" applyAlignment="1">
      <alignment horizontal="center" vertical="center" wrapText="1" shrinkToFit="1"/>
    </xf>
    <xf numFmtId="0" fontId="1" fillId="2" borderId="4" xfId="0" applyFont="1" applyFill="1" applyBorder="1" applyAlignment="1">
      <alignment horizontal="center" vertical="center" wrapText="1" shrinkToFit="1"/>
    </xf>
    <xf numFmtId="0" fontId="1" fillId="0" borderId="7" xfId="0" applyFont="1" applyFill="1" applyBorder="1" applyAlignment="1">
      <alignment horizontal="center" vertical="center"/>
    </xf>
    <xf numFmtId="2" fontId="1" fillId="0" borderId="8" xfId="0" applyNumberFormat="1" applyFont="1" applyFill="1" applyBorder="1" applyAlignment="1">
      <alignment horizontal="center" vertical="center"/>
    </xf>
    <xf numFmtId="0" fontId="1" fillId="0" borderId="4" xfId="0" applyFont="1" applyFill="1" applyBorder="1" applyAlignment="1">
      <alignment horizontal="center" vertical="center"/>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1" fillId="2" borderId="6" xfId="0" applyFont="1" applyFill="1" applyBorder="1" applyAlignment="1">
      <alignment horizontal="center" vertical="center" wrapText="1" shrinkToFit="1"/>
    </xf>
    <xf numFmtId="1" fontId="0" fillId="0" borderId="0" xfId="0" applyNumberFormat="1" applyFill="1" applyAlignment="1">
      <alignment horizontal="center" vertical="center"/>
    </xf>
    <xf numFmtId="2" fontId="0" fillId="0" borderId="0" xfId="0" applyNumberFormat="1" applyFill="1" applyAlignment="1">
      <alignment horizontal="center" vertical="center"/>
    </xf>
    <xf numFmtId="1" fontId="3" fillId="0" borderId="0" xfId="0" applyNumberFormat="1" applyFont="1" applyFill="1" applyAlignment="1">
      <alignment horizontal="center" vertical="center"/>
    </xf>
    <xf numFmtId="2" fontId="3" fillId="0" borderId="0" xfId="0" applyNumberFormat="1" applyFont="1" applyFill="1" applyAlignment="1">
      <alignment horizontal="center" vertical="center"/>
    </xf>
    <xf numFmtId="0" fontId="0" fillId="0" borderId="0" xfId="0" applyFill="1" applyAlignment="1">
      <alignment wrapText="1"/>
    </xf>
    <xf numFmtId="164" fontId="0" fillId="0" borderId="0" xfId="0" applyNumberFormat="1" applyFill="1"/>
    <xf numFmtId="0" fontId="3" fillId="0" borderId="0" xfId="0" applyFont="1" applyFill="1" applyAlignment="1">
      <alignment horizontal="center" vertical="center"/>
    </xf>
    <xf numFmtId="165" fontId="0" fillId="0" borderId="0" xfId="0" applyNumberFormat="1" applyFill="1" applyAlignment="1">
      <alignment horizontal="center" vertical="center"/>
    </xf>
    <xf numFmtId="166" fontId="0" fillId="0" borderId="0" xfId="0" applyNumberFormat="1" applyFill="1"/>
    <xf numFmtId="0" fontId="3" fillId="0" borderId="0" xfId="0" applyFont="1" applyFill="1" applyAlignment="1">
      <alignment horizontal="right" vertical="center"/>
    </xf>
    <xf numFmtId="167" fontId="0" fillId="0" borderId="0" xfId="0" applyNumberFormat="1" applyFill="1"/>
    <xf numFmtId="2" fontId="0" fillId="0" borderId="0" xfId="0" applyNumberFormat="1" applyFill="1"/>
    <xf numFmtId="2" fontId="0" fillId="0" borderId="0" xfId="0" applyNumberFormat="1" applyFill="1" applyAlignment="1">
      <alignment horizontal="right"/>
    </xf>
    <xf numFmtId="0" fontId="0" fillId="0" borderId="0" xfId="0" applyFill="1" applyAlignment="1">
      <alignment horizontal="right" wrapText="1"/>
    </xf>
    <xf numFmtId="166" fontId="0" fillId="0" borderId="0" xfId="0" applyNumberFormat="1" applyFill="1" applyAlignment="1">
      <alignment horizontal="center"/>
    </xf>
    <xf numFmtId="0" fontId="4" fillId="2" borderId="0" xfId="0" applyFont="1" applyFill="1"/>
    <xf numFmtId="0" fontId="5" fillId="2" borderId="0" xfId="0" applyFont="1" applyFill="1"/>
    <xf numFmtId="0" fontId="5" fillId="0" borderId="0" xfId="0" applyFont="1" applyFill="1"/>
    <xf numFmtId="0" fontId="0" fillId="2" borderId="0" xfId="0" applyFill="1"/>
    <xf numFmtId="0" fontId="0" fillId="0" borderId="11" xfId="0" applyBorder="1"/>
    <xf numFmtId="0" fontId="0" fillId="0" borderId="0" xfId="0"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2" fontId="5" fillId="0" borderId="0" xfId="0" applyNumberFormat="1" applyFont="1" applyAlignment="1">
      <alignment horizontal="center"/>
    </xf>
    <xf numFmtId="2" fontId="0" fillId="0" borderId="0" xfId="0" applyNumberFormat="1"/>
    <xf numFmtId="0" fontId="0" fillId="0" borderId="11" xfId="0" applyBorder="1" applyAlignment="1">
      <alignment horizontal="center"/>
    </xf>
    <xf numFmtId="0" fontId="5" fillId="0" borderId="0" xfId="0" applyFont="1" applyAlignment="1">
      <alignment horizontal="center"/>
    </xf>
    <xf numFmtId="0" fontId="1" fillId="0" borderId="0" xfId="0" applyFont="1" applyBorder="1" applyAlignment="1">
      <alignment vertical="center" wrapText="1" shrinkToFit="1"/>
    </xf>
    <xf numFmtId="0" fontId="1" fillId="0" borderId="0" xfId="0" applyFont="1" applyBorder="1" applyAlignment="1">
      <alignment horizontal="center" vertical="center" wrapText="1" shrinkToFit="1"/>
    </xf>
    <xf numFmtId="0" fontId="0" fillId="0" borderId="12" xfId="0" applyBorder="1"/>
    <xf numFmtId="2" fontId="0" fillId="0" borderId="0" xfId="0" applyNumberFormat="1" applyBorder="1"/>
    <xf numFmtId="0" fontId="0" fillId="0" borderId="12" xfId="0" applyBorder="1" applyAlignment="1">
      <alignment horizontal="center"/>
    </xf>
    <xf numFmtId="168" fontId="3" fillId="0" borderId="0" xfId="0" applyNumberFormat="1" applyFont="1" applyFill="1" applyAlignment="1">
      <alignment horizontal="center" vertical="center"/>
    </xf>
    <xf numFmtId="167" fontId="3" fillId="0" borderId="0" xfId="0" applyNumberFormat="1" applyFont="1" applyFill="1" applyAlignment="1">
      <alignment horizontal="right" vertical="center"/>
    </xf>
    <xf numFmtId="168" fontId="0" fillId="0" borderId="0" xfId="0" applyNumberFormat="1" applyFill="1" applyAlignment="1">
      <alignment horizontal="center" vertical="center"/>
    </xf>
    <xf numFmtId="0" fontId="0" fillId="0" borderId="0" xfId="0" applyAlignment="1">
      <alignment horizontal="right"/>
    </xf>
    <xf numFmtId="0" fontId="0" fillId="0" borderId="0" xfId="0" applyAlignment="1">
      <alignment horizontal="left"/>
    </xf>
    <xf numFmtId="0" fontId="1" fillId="0" borderId="0" xfId="0" applyFont="1" applyFill="1" applyBorder="1" applyAlignment="1">
      <alignment horizontal="right" vertical="center"/>
    </xf>
    <xf numFmtId="0" fontId="2" fillId="0" borderId="0" xfId="0" applyFont="1" applyFill="1" applyBorder="1" applyAlignment="1">
      <alignment horizontal="center"/>
    </xf>
    <xf numFmtId="166" fontId="0" fillId="0" borderId="0" xfId="0" applyNumberFormat="1" applyAlignment="1">
      <alignment horizontal="right"/>
    </xf>
    <xf numFmtId="164" fontId="0" fillId="0" borderId="0" xfId="0" applyNumberFormat="1" applyAlignment="1">
      <alignment horizontal="right"/>
    </xf>
    <xf numFmtId="168" fontId="5" fillId="0" borderId="0" xfId="0" applyNumberFormat="1" applyFont="1" applyAlignment="1">
      <alignment horizontal="center"/>
    </xf>
    <xf numFmtId="2" fontId="0" fillId="0" borderId="0" xfId="0" applyNumberFormat="1" applyAlignment="1">
      <alignment horizontal="right"/>
    </xf>
    <xf numFmtId="2" fontId="5" fillId="0" borderId="0" xfId="0" applyNumberFormat="1" applyFont="1" applyAlignment="1">
      <alignment horizontal="center" vertical="center"/>
    </xf>
    <xf numFmtId="0" fontId="5" fillId="0" borderId="0" xfId="0" applyFont="1" applyAlignment="1">
      <alignment horizontal="center" vertical="center"/>
    </xf>
    <xf numFmtId="169" fontId="0" fillId="0" borderId="0" xfId="0" applyNumberFormat="1" applyAlignment="1">
      <alignment horizontal="center"/>
    </xf>
    <xf numFmtId="0" fontId="3" fillId="0" borderId="0" xfId="0" applyFont="1" applyAlignment="1">
      <alignment horizontal="center"/>
    </xf>
    <xf numFmtId="2" fontId="3" fillId="0" borderId="0" xfId="0" applyNumberFormat="1" applyFont="1" applyAlignment="1">
      <alignment horizontal="center"/>
    </xf>
    <xf numFmtId="0" fontId="10" fillId="0" borderId="0" xfId="0" applyFont="1"/>
    <xf numFmtId="0" fontId="10" fillId="0" borderId="0" xfId="0" applyFont="1" applyAlignment="1">
      <alignment horizontal="center"/>
    </xf>
    <xf numFmtId="168" fontId="10" fillId="0" borderId="0" xfId="0" applyNumberFormat="1" applyFont="1" applyAlignment="1">
      <alignment horizontal="center"/>
    </xf>
    <xf numFmtId="2" fontId="11" fillId="0" borderId="0" xfId="0" applyNumberFormat="1" applyFont="1" applyAlignment="1">
      <alignment horizontal="center" vertical="center"/>
    </xf>
    <xf numFmtId="1" fontId="10" fillId="0" borderId="0" xfId="0" applyNumberFormat="1" applyFont="1"/>
    <xf numFmtId="2" fontId="10" fillId="0" borderId="0" xfId="0" applyNumberFormat="1" applyFont="1" applyAlignment="1">
      <alignment horizontal="center"/>
    </xf>
    <xf numFmtId="2" fontId="3" fillId="0" borderId="0" xfId="0" applyNumberFormat="1" applyFont="1"/>
    <xf numFmtId="168" fontId="3" fillId="0" borderId="0" xfId="0" applyNumberFormat="1" applyFont="1" applyAlignment="1">
      <alignment horizontal="center"/>
    </xf>
    <xf numFmtId="168" fontId="3" fillId="0" borderId="0" xfId="0" applyNumberFormat="1" applyFont="1" applyAlignment="1">
      <alignment horizontal="center" vertical="center"/>
    </xf>
    <xf numFmtId="0" fontId="12" fillId="2" borderId="3" xfId="0" applyFont="1" applyFill="1" applyBorder="1" applyAlignment="1">
      <alignment horizontal="center" vertical="center"/>
    </xf>
    <xf numFmtId="0" fontId="1" fillId="0" borderId="0" xfId="0" applyFont="1" applyBorder="1" applyAlignment="1">
      <alignment horizontal="center" vertical="center" wrapText="1" shrinkToFit="1"/>
    </xf>
    <xf numFmtId="0" fontId="1" fillId="0" borderId="10" xfId="0" applyFont="1" applyBorder="1" applyAlignment="1">
      <alignment horizontal="center" vertical="center" wrapText="1" shrinkToFit="1"/>
    </xf>
    <xf numFmtId="0" fontId="5" fillId="2" borderId="0" xfId="0" applyFont="1" applyFill="1" applyAlignment="1">
      <alignment horizontal="center"/>
    </xf>
    <xf numFmtId="0" fontId="0" fillId="0" borderId="0" xfId="0" applyAlignment="1">
      <alignment horizontal="center"/>
    </xf>
    <xf numFmtId="0" fontId="15" fillId="0" borderId="7" xfId="1" applyFont="1" applyBorder="1" applyAlignment="1">
      <alignment horizontal="center" vertical="center"/>
    </xf>
    <xf numFmtId="0" fontId="15" fillId="0" borderId="8" xfId="1" applyFont="1" applyBorder="1" applyAlignment="1">
      <alignment horizontal="center" vertical="center"/>
    </xf>
    <xf numFmtId="0" fontId="15" fillId="0" borderId="4" xfId="1" applyFont="1" applyBorder="1" applyAlignment="1">
      <alignment horizontal="center" vertical="center"/>
    </xf>
    <xf numFmtId="0" fontId="17" fillId="0" borderId="0" xfId="1" applyFont="1"/>
    <xf numFmtId="0" fontId="18" fillId="0" borderId="0" xfId="1" applyFont="1"/>
    <xf numFmtId="0" fontId="19" fillId="16" borderId="7" xfId="1" applyFont="1" applyFill="1" applyBorder="1" applyAlignment="1">
      <alignment horizontal="centerContinuous"/>
    </xf>
    <xf numFmtId="0" fontId="20" fillId="16" borderId="8" xfId="1" applyFont="1" applyFill="1" applyBorder="1" applyAlignment="1">
      <alignment horizontal="centerContinuous"/>
    </xf>
    <xf numFmtId="0" fontId="19" fillId="16" borderId="8" xfId="1" applyFont="1" applyFill="1" applyBorder="1" applyAlignment="1">
      <alignment horizontal="right"/>
    </xf>
    <xf numFmtId="0" fontId="20" fillId="16" borderId="8" xfId="1" applyFont="1" applyFill="1" applyBorder="1" applyAlignment="1">
      <alignment horizontal="left"/>
    </xf>
    <xf numFmtId="0" fontId="20" fillId="16" borderId="4" xfId="1" applyFont="1" applyFill="1" applyBorder="1" applyAlignment="1">
      <alignment horizontal="centerContinuous"/>
    </xf>
    <xf numFmtId="0" fontId="20" fillId="16" borderId="14" xfId="1" applyFont="1" applyFill="1" applyBorder="1" applyAlignment="1">
      <alignment horizontal="centerContinuous"/>
    </xf>
    <xf numFmtId="0" fontId="20" fillId="16" borderId="2" xfId="1" applyFont="1" applyFill="1" applyBorder="1" applyAlignment="1">
      <alignment horizontal="centerContinuous"/>
    </xf>
    <xf numFmtId="0" fontId="19" fillId="17" borderId="4" xfId="1" applyFont="1" applyFill="1" applyBorder="1" applyAlignment="1">
      <alignment horizontal="center"/>
    </xf>
    <xf numFmtId="0" fontId="19" fillId="17" borderId="3" xfId="1" applyFont="1" applyFill="1" applyBorder="1" applyAlignment="1">
      <alignment horizontal="center"/>
    </xf>
    <xf numFmtId="0" fontId="19" fillId="18" borderId="3" xfId="1" applyFont="1" applyFill="1" applyBorder="1" applyAlignment="1">
      <alignment horizontal="center"/>
    </xf>
    <xf numFmtId="0" fontId="19" fillId="19" borderId="7" xfId="1" applyFont="1" applyFill="1" applyBorder="1" applyAlignment="1">
      <alignment horizontal="center"/>
    </xf>
    <xf numFmtId="0" fontId="19" fillId="19" borderId="8" xfId="1" applyFont="1" applyFill="1" applyBorder="1" applyAlignment="1">
      <alignment horizontal="center"/>
    </xf>
    <xf numFmtId="0" fontId="19" fillId="19" borderId="4" xfId="1" applyFont="1" applyFill="1" applyBorder="1" applyAlignment="1">
      <alignment horizontal="center"/>
    </xf>
    <xf numFmtId="0" fontId="20" fillId="0" borderId="0" xfId="1" applyFont="1"/>
    <xf numFmtId="0" fontId="17" fillId="16" borderId="5" xfId="1" applyFont="1" applyFill="1" applyBorder="1" applyAlignment="1">
      <alignment horizontal="center" wrapText="1"/>
    </xf>
    <xf numFmtId="0" fontId="17" fillId="16" borderId="9" xfId="1" applyFont="1" applyFill="1" applyBorder="1" applyAlignment="1">
      <alignment horizontal="center" wrapText="1"/>
    </xf>
    <xf numFmtId="0" fontId="19" fillId="16" borderId="9" xfId="1" applyFont="1" applyFill="1" applyBorder="1" applyAlignment="1">
      <alignment horizontal="centerContinuous"/>
    </xf>
    <xf numFmtId="0" fontId="17" fillId="16" borderId="10" xfId="1" applyFont="1" applyFill="1" applyBorder="1" applyAlignment="1">
      <alignment horizontal="centerContinuous"/>
    </xf>
    <xf numFmtId="0" fontId="17" fillId="16" borderId="6" xfId="1" applyFont="1" applyFill="1" applyBorder="1" applyAlignment="1">
      <alignment horizontal="centerContinuous"/>
    </xf>
    <xf numFmtId="0" fontId="17" fillId="17" borderId="4" xfId="1" applyFont="1" applyFill="1" applyBorder="1" applyAlignment="1">
      <alignment horizontal="center"/>
    </xf>
    <xf numFmtId="0" fontId="17" fillId="17" borderId="3" xfId="1" applyFont="1" applyFill="1" applyBorder="1" applyAlignment="1">
      <alignment horizontal="center"/>
    </xf>
    <xf numFmtId="0" fontId="17" fillId="18" borderId="3" xfId="1" applyFont="1" applyFill="1" applyBorder="1" applyAlignment="1">
      <alignment horizontal="center"/>
    </xf>
    <xf numFmtId="0" fontId="17" fillId="19" borderId="3" xfId="1" applyFont="1" applyFill="1" applyBorder="1" applyAlignment="1">
      <alignment horizontal="center"/>
    </xf>
    <xf numFmtId="168" fontId="17" fillId="0" borderId="0" xfId="2" applyNumberFormat="1" applyFont="1" applyAlignment="1">
      <alignment horizontal="center"/>
    </xf>
    <xf numFmtId="1" fontId="17" fillId="0" borderId="0" xfId="1" applyNumberFormat="1" applyFont="1" applyAlignment="1">
      <alignment horizontal="center"/>
    </xf>
    <xf numFmtId="9" fontId="23" fillId="0" borderId="0" xfId="2" applyFont="1" applyAlignment="1">
      <alignment horizontal="center"/>
    </xf>
    <xf numFmtId="9" fontId="24" fillId="0" borderId="0" xfId="2" applyFont="1" applyAlignment="1">
      <alignment horizontal="center"/>
    </xf>
    <xf numFmtId="9" fontId="25" fillId="0" borderId="0" xfId="2" applyFont="1" applyAlignment="1">
      <alignment horizontal="center"/>
    </xf>
    <xf numFmtId="9" fontId="26" fillId="0" borderId="0" xfId="2" applyFont="1" applyAlignment="1">
      <alignment horizontal="center"/>
    </xf>
    <xf numFmtId="0" fontId="17" fillId="18" borderId="5" xfId="1" applyFont="1" applyFill="1" applyBorder="1"/>
    <xf numFmtId="0" fontId="17" fillId="17" borderId="9" xfId="1" applyFont="1" applyFill="1" applyBorder="1" applyAlignment="1">
      <alignment horizontal="centerContinuous"/>
    </xf>
    <xf numFmtId="0" fontId="17" fillId="18" borderId="9" xfId="1" applyFont="1" applyFill="1" applyBorder="1" applyAlignment="1">
      <alignment horizontal="centerContinuous"/>
    </xf>
    <xf numFmtId="0" fontId="17" fillId="19" borderId="5" xfId="1" applyFont="1" applyFill="1" applyBorder="1" applyAlignment="1">
      <alignment horizontal="centerContinuous"/>
    </xf>
    <xf numFmtId="11" fontId="17" fillId="17" borderId="3" xfId="1" applyNumberFormat="1" applyFont="1" applyFill="1" applyBorder="1" applyAlignment="1">
      <alignment horizontal="center"/>
    </xf>
    <xf numFmtId="11" fontId="17" fillId="0" borderId="15" xfId="1" applyNumberFormat="1" applyFont="1" applyFill="1" applyBorder="1" applyAlignment="1">
      <alignment horizontal="center"/>
    </xf>
    <xf numFmtId="11" fontId="17" fillId="0" borderId="16" xfId="1" applyNumberFormat="1" applyFont="1" applyFill="1" applyBorder="1" applyAlignment="1">
      <alignment horizontal="center"/>
    </xf>
    <xf numFmtId="170" fontId="27" fillId="16" borderId="15" xfId="2" applyNumberFormat="1" applyFont="1" applyFill="1" applyBorder="1" applyAlignment="1">
      <alignment horizontal="center"/>
    </xf>
    <xf numFmtId="11" fontId="17" fillId="0" borderId="9" xfId="1" applyNumberFormat="1" applyFont="1" applyFill="1" applyBorder="1" applyAlignment="1">
      <alignment horizontal="center"/>
    </xf>
    <xf numFmtId="11" fontId="17" fillId="0" borderId="6" xfId="1" applyNumberFormat="1" applyFont="1" applyFill="1" applyBorder="1" applyAlignment="1">
      <alignment horizontal="center"/>
    </xf>
    <xf numFmtId="171" fontId="17" fillId="18" borderId="3" xfId="1" applyNumberFormat="1" applyFont="1" applyFill="1" applyBorder="1" applyAlignment="1">
      <alignment horizontal="center"/>
    </xf>
    <xf numFmtId="171" fontId="17" fillId="0" borderId="15" xfId="1" applyNumberFormat="1" applyFont="1" applyFill="1" applyBorder="1" applyAlignment="1">
      <alignment horizontal="center"/>
    </xf>
    <xf numFmtId="171" fontId="17" fillId="0" borderId="0" xfId="1" applyNumberFormat="1" applyFont="1" applyFill="1" applyBorder="1" applyAlignment="1">
      <alignment horizontal="center"/>
    </xf>
    <xf numFmtId="171" fontId="17" fillId="0" borderId="16" xfId="1" applyNumberFormat="1" applyFont="1" applyFill="1" applyBorder="1" applyAlignment="1">
      <alignment horizontal="center"/>
    </xf>
    <xf numFmtId="171" fontId="17" fillId="0" borderId="9" xfId="1" applyNumberFormat="1" applyFont="1" applyFill="1" applyBorder="1" applyAlignment="1">
      <alignment horizontal="center"/>
    </xf>
    <xf numFmtId="171" fontId="17" fillId="0" borderId="10" xfId="1" applyNumberFormat="1" applyFont="1" applyFill="1" applyBorder="1" applyAlignment="1">
      <alignment horizontal="center"/>
    </xf>
    <xf numFmtId="171" fontId="17" fillId="0" borderId="6" xfId="1" applyNumberFormat="1" applyFont="1" applyFill="1" applyBorder="1" applyAlignment="1">
      <alignment horizontal="center"/>
    </xf>
    <xf numFmtId="11" fontId="17" fillId="19" borderId="3" xfId="1" applyNumberFormat="1" applyFont="1" applyFill="1" applyBorder="1" applyAlignment="1">
      <alignment horizontal="center"/>
    </xf>
    <xf numFmtId="172" fontId="17" fillId="19" borderId="3" xfId="1" applyNumberFormat="1" applyFont="1" applyFill="1" applyBorder="1" applyAlignment="1">
      <alignment horizontal="center"/>
    </xf>
    <xf numFmtId="11" fontId="17" fillId="0" borderId="0" xfId="1" applyNumberFormat="1" applyFont="1" applyFill="1" applyBorder="1" applyAlignment="1">
      <alignment horizontal="center"/>
    </xf>
    <xf numFmtId="164" fontId="17" fillId="0" borderId="16" xfId="1" applyNumberFormat="1" applyFont="1" applyFill="1" applyBorder="1" applyAlignment="1">
      <alignment horizontal="center"/>
    </xf>
    <xf numFmtId="164" fontId="17" fillId="0" borderId="0" xfId="1" applyNumberFormat="1" applyFont="1" applyFill="1" applyBorder="1" applyAlignment="1">
      <alignment horizontal="center"/>
    </xf>
    <xf numFmtId="168" fontId="17" fillId="0" borderId="15" xfId="1" applyNumberFormat="1" applyFont="1" applyFill="1" applyBorder="1" applyAlignment="1">
      <alignment horizontal="center"/>
    </xf>
    <xf numFmtId="168" fontId="17" fillId="0" borderId="0" xfId="1" applyNumberFormat="1" applyFont="1" applyFill="1" applyBorder="1" applyAlignment="1">
      <alignment horizontal="center"/>
    </xf>
    <xf numFmtId="0" fontId="17" fillId="0" borderId="15" xfId="1" applyFont="1" applyFill="1" applyBorder="1"/>
    <xf numFmtId="0" fontId="17" fillId="0" borderId="0" xfId="1" applyFont="1" applyFill="1" applyBorder="1"/>
    <xf numFmtId="0" fontId="17" fillId="0" borderId="16" xfId="1" applyFont="1" applyFill="1" applyBorder="1"/>
    <xf numFmtId="0" fontId="17" fillId="0" borderId="9" xfId="1" applyFont="1" applyFill="1" applyBorder="1"/>
    <xf numFmtId="0" fontId="17" fillId="0" borderId="10" xfId="1" applyFont="1" applyFill="1" applyBorder="1"/>
    <xf numFmtId="0" fontId="17" fillId="0" borderId="6" xfId="1" applyFont="1" applyFill="1" applyBorder="1"/>
    <xf numFmtId="168" fontId="17" fillId="0" borderId="0" xfId="2" applyNumberFormat="1" applyFont="1" applyFill="1" applyAlignment="1">
      <alignment horizontal="center"/>
    </xf>
    <xf numFmtId="0" fontId="20" fillId="18" borderId="1" xfId="1" applyFont="1" applyFill="1" applyBorder="1" applyAlignment="1">
      <alignment horizontal="center" textRotation="90" wrapText="1"/>
    </xf>
    <xf numFmtId="172" fontId="17" fillId="17" borderId="0" xfId="1" applyNumberFormat="1" applyFont="1" applyFill="1" applyAlignment="1">
      <alignment horizontal="center"/>
    </xf>
    <xf numFmtId="172" fontId="17" fillId="18" borderId="0" xfId="1" applyNumberFormat="1" applyFont="1" applyFill="1" applyAlignment="1">
      <alignment horizontal="center"/>
    </xf>
    <xf numFmtId="172" fontId="17" fillId="19" borderId="0" xfId="1" applyNumberFormat="1" applyFont="1" applyFill="1" applyAlignment="1">
      <alignment horizontal="center"/>
    </xf>
    <xf numFmtId="0" fontId="20" fillId="18" borderId="17" xfId="1" applyFont="1" applyFill="1" applyBorder="1" applyAlignment="1">
      <alignment horizontal="center" textRotation="90"/>
    </xf>
    <xf numFmtId="168" fontId="17" fillId="17" borderId="0" xfId="1" applyNumberFormat="1" applyFont="1" applyFill="1" applyAlignment="1">
      <alignment horizontal="center"/>
    </xf>
    <xf numFmtId="168" fontId="17" fillId="18" borderId="0" xfId="1" applyNumberFormat="1" applyFont="1" applyFill="1" applyAlignment="1">
      <alignment horizontal="center"/>
    </xf>
    <xf numFmtId="168" fontId="17" fillId="19" borderId="0" xfId="1" applyNumberFormat="1" applyFont="1" applyFill="1" applyAlignment="1">
      <alignment horizontal="center"/>
    </xf>
    <xf numFmtId="168" fontId="17" fillId="0" borderId="0" xfId="1" applyNumberFormat="1" applyFont="1" applyAlignment="1">
      <alignment horizontal="center"/>
    </xf>
    <xf numFmtId="0" fontId="20" fillId="18" borderId="5" xfId="1" applyFont="1" applyFill="1" applyBorder="1" applyAlignment="1">
      <alignment horizontal="center" textRotation="90"/>
    </xf>
    <xf numFmtId="0" fontId="17" fillId="0" borderId="0" xfId="1" applyFont="1" applyAlignment="1">
      <alignment horizontal="left"/>
    </xf>
    <xf numFmtId="168" fontId="28" fillId="0" borderId="0" xfId="1" applyNumberFormat="1" applyFont="1" applyAlignment="1">
      <alignment horizontal="center"/>
    </xf>
    <xf numFmtId="0" fontId="17" fillId="0" borderId="0" xfId="1" applyFont="1" applyAlignment="1">
      <alignment horizontal="right"/>
    </xf>
    <xf numFmtId="0" fontId="17" fillId="0" borderId="0" xfId="1" applyFont="1" applyAlignment="1"/>
    <xf numFmtId="2" fontId="17" fillId="0" borderId="0" xfId="2" applyNumberFormat="1" applyFont="1" applyAlignment="1">
      <alignment horizontal="center"/>
    </xf>
    <xf numFmtId="0" fontId="29" fillId="20" borderId="3" xfId="1" applyFont="1" applyFill="1" applyBorder="1" applyAlignment="1">
      <alignment horizontal="center"/>
    </xf>
    <xf numFmtId="0" fontId="30" fillId="0" borderId="10" xfId="1" applyFont="1" applyBorder="1" applyAlignment="1">
      <alignment horizontal="center"/>
    </xf>
    <xf numFmtId="0" fontId="31" fillId="20" borderId="7" xfId="1" applyFont="1" applyFill="1" applyBorder="1" applyAlignment="1">
      <alignment horizontal="centerContinuous"/>
    </xf>
    <xf numFmtId="0" fontId="31" fillId="20" borderId="8" xfId="1" applyFont="1" applyFill="1" applyBorder="1" applyAlignment="1">
      <alignment horizontal="centerContinuous"/>
    </xf>
    <xf numFmtId="0" fontId="31" fillId="20" borderId="4" xfId="1" applyFont="1" applyFill="1" applyBorder="1" applyAlignment="1">
      <alignment horizontal="centerContinuous"/>
    </xf>
    <xf numFmtId="0" fontId="31" fillId="0" borderId="7" xfId="1" applyFont="1" applyFill="1" applyBorder="1" applyAlignment="1">
      <alignment horizontal="centerContinuous"/>
    </xf>
    <xf numFmtId="0" fontId="31" fillId="0" borderId="8" xfId="1" applyFont="1" applyBorder="1" applyAlignment="1">
      <alignment horizontal="centerContinuous"/>
    </xf>
    <xf numFmtId="0" fontId="31" fillId="0" borderId="4" xfId="1" applyFont="1" applyBorder="1" applyAlignment="1">
      <alignment horizontal="centerContinuous"/>
    </xf>
    <xf numFmtId="0" fontId="31" fillId="20" borderId="3" xfId="1" applyFont="1" applyFill="1" applyBorder="1" applyAlignment="1">
      <alignment horizontal="center" wrapText="1"/>
    </xf>
    <xf numFmtId="0" fontId="32" fillId="20" borderId="3" xfId="1" applyFont="1" applyFill="1" applyBorder="1" applyAlignment="1">
      <alignment horizontal="center" wrapText="1"/>
    </xf>
    <xf numFmtId="0" fontId="31" fillId="0" borderId="3" xfId="1" applyFont="1" applyFill="1" applyBorder="1" applyAlignment="1">
      <alignment horizontal="center" wrapText="1"/>
    </xf>
    <xf numFmtId="0" fontId="32" fillId="0" borderId="3" xfId="1" applyFont="1" applyFill="1" applyBorder="1" applyAlignment="1">
      <alignment horizontal="center" wrapText="1"/>
    </xf>
    <xf numFmtId="168" fontId="17" fillId="20" borderId="15" xfId="2" applyNumberFormat="1" applyFont="1" applyFill="1" applyBorder="1" applyAlignment="1">
      <alignment horizontal="center"/>
    </xf>
    <xf numFmtId="9" fontId="32" fillId="20" borderId="0" xfId="2" applyFont="1" applyFill="1" applyBorder="1" applyAlignment="1">
      <alignment horizontal="center"/>
    </xf>
    <xf numFmtId="9" fontId="28" fillId="20" borderId="16" xfId="2" applyFont="1" applyFill="1" applyBorder="1" applyAlignment="1">
      <alignment horizontal="center"/>
    </xf>
    <xf numFmtId="168" fontId="17" fillId="0" borderId="15" xfId="2" applyNumberFormat="1" applyFont="1" applyFill="1" applyBorder="1" applyAlignment="1">
      <alignment horizontal="center"/>
    </xf>
    <xf numFmtId="9" fontId="32" fillId="0" borderId="0" xfId="2" applyFont="1" applyFill="1" applyBorder="1" applyAlignment="1">
      <alignment horizontal="center"/>
    </xf>
    <xf numFmtId="9" fontId="28" fillId="0" borderId="16" xfId="2" applyFont="1" applyFill="1" applyBorder="1" applyAlignment="1">
      <alignment horizontal="center"/>
    </xf>
    <xf numFmtId="0" fontId="18" fillId="20" borderId="15" xfId="1" applyFont="1" applyFill="1" applyBorder="1"/>
    <xf numFmtId="0" fontId="17" fillId="20" borderId="0" xfId="1" applyFont="1" applyFill="1" applyBorder="1"/>
    <xf numFmtId="0" fontId="17" fillId="20" borderId="16" xfId="1" applyFont="1" applyFill="1" applyBorder="1"/>
    <xf numFmtId="0" fontId="18" fillId="0" borderId="15" xfId="1" applyFont="1" applyFill="1" applyBorder="1"/>
    <xf numFmtId="0" fontId="17" fillId="20" borderId="15" xfId="1" applyFont="1" applyFill="1" applyBorder="1"/>
    <xf numFmtId="0" fontId="17" fillId="20" borderId="0" xfId="1" applyFont="1" applyFill="1" applyBorder="1" applyAlignment="1">
      <alignment horizontal="right"/>
    </xf>
    <xf numFmtId="1" fontId="32" fillId="20" borderId="16" xfId="2" applyNumberFormat="1" applyFont="1" applyFill="1" applyBorder="1" applyAlignment="1">
      <alignment horizontal="center"/>
    </xf>
    <xf numFmtId="0" fontId="17" fillId="0" borderId="0" xfId="1" applyFont="1" applyFill="1" applyBorder="1" applyAlignment="1">
      <alignment horizontal="right"/>
    </xf>
    <xf numFmtId="1" fontId="32" fillId="0" borderId="16" xfId="2" applyNumberFormat="1" applyFont="1" applyFill="1" applyBorder="1" applyAlignment="1">
      <alignment horizontal="center"/>
    </xf>
    <xf numFmtId="0" fontId="17" fillId="20" borderId="9" xfId="1" applyFont="1" applyFill="1" applyBorder="1"/>
    <xf numFmtId="0" fontId="17" fillId="20" borderId="10" xfId="1" applyFont="1" applyFill="1" applyBorder="1" applyAlignment="1">
      <alignment horizontal="right"/>
    </xf>
    <xf numFmtId="2" fontId="28" fillId="20" borderId="6" xfId="1" applyNumberFormat="1" applyFont="1" applyFill="1" applyBorder="1" applyAlignment="1">
      <alignment horizontal="center"/>
    </xf>
    <xf numFmtId="0" fontId="17" fillId="0" borderId="10" xfId="1" applyFont="1" applyFill="1" applyBorder="1" applyAlignment="1">
      <alignment horizontal="right"/>
    </xf>
    <xf numFmtId="2" fontId="28" fillId="0" borderId="6" xfId="1" applyNumberFormat="1" applyFont="1" applyFill="1" applyBorder="1" applyAlignment="1">
      <alignment horizontal="center"/>
    </xf>
    <xf numFmtId="1" fontId="17" fillId="0" borderId="0" xfId="2" applyNumberFormat="1" applyFont="1" applyAlignment="1">
      <alignment horizontal="center"/>
    </xf>
    <xf numFmtId="2" fontId="17" fillId="0" borderId="0" xfId="1" applyNumberFormat="1" applyFont="1" applyAlignment="1">
      <alignment horizontal="center"/>
    </xf>
    <xf numFmtId="1" fontId="23" fillId="0" borderId="0" xfId="2" applyNumberFormat="1" applyFont="1" applyAlignment="1">
      <alignment horizontal="center"/>
    </xf>
    <xf numFmtId="173" fontId="26" fillId="0" borderId="0" xfId="2" applyNumberFormat="1" applyFont="1" applyAlignment="1">
      <alignment horizontal="center"/>
    </xf>
    <xf numFmtId="1" fontId="17" fillId="0" borderId="0" xfId="2" applyNumberFormat="1" applyFont="1" applyFill="1" applyAlignment="1">
      <alignment horizontal="center"/>
    </xf>
    <xf numFmtId="2" fontId="28" fillId="0" borderId="0" xfId="1" applyNumberFormat="1" applyFont="1" applyFill="1" applyAlignment="1">
      <alignment horizontal="left"/>
    </xf>
    <xf numFmtId="2" fontId="28" fillId="0" borderId="0" xfId="1" quotePrefix="1" applyNumberFormat="1" applyFont="1" applyFill="1" applyAlignment="1">
      <alignment horizontal="left"/>
    </xf>
    <xf numFmtId="0" fontId="29" fillId="20" borderId="7" xfId="1" applyFont="1" applyFill="1" applyBorder="1" applyAlignment="1">
      <alignment horizontal="center"/>
    </xf>
    <xf numFmtId="0" fontId="29" fillId="20" borderId="8" xfId="1" applyFont="1" applyFill="1" applyBorder="1" applyAlignment="1">
      <alignment horizontal="center"/>
    </xf>
    <xf numFmtId="0" fontId="29" fillId="20" borderId="4" xfId="1" applyFont="1" applyFill="1" applyBorder="1" applyAlignment="1">
      <alignment horizontal="center"/>
    </xf>
    <xf numFmtId="0" fontId="31" fillId="0" borderId="8" xfId="1" applyFont="1" applyFill="1" applyBorder="1" applyAlignment="1">
      <alignment horizontal="centerContinuous"/>
    </xf>
    <xf numFmtId="0" fontId="31" fillId="0" borderId="4" xfId="1" applyFont="1" applyFill="1" applyBorder="1" applyAlignment="1">
      <alignment horizontal="centerContinuous"/>
    </xf>
    <xf numFmtId="0" fontId="31" fillId="0" borderId="7" xfId="1" applyFont="1" applyBorder="1" applyAlignment="1">
      <alignment horizontal="centerContinuous"/>
    </xf>
    <xf numFmtId="0" fontId="31" fillId="0" borderId="3" xfId="1" applyFont="1" applyBorder="1" applyAlignment="1">
      <alignment horizontal="center" wrapText="1"/>
    </xf>
    <xf numFmtId="0" fontId="32" fillId="0" borderId="3" xfId="1" applyFont="1" applyBorder="1" applyAlignment="1">
      <alignment horizontal="center" wrapText="1"/>
    </xf>
    <xf numFmtId="0" fontId="17" fillId="0" borderId="3" xfId="1" applyFont="1" applyBorder="1" applyAlignment="1">
      <alignment horizontal="center" wrapText="1"/>
    </xf>
    <xf numFmtId="0" fontId="17" fillId="0" borderId="0" xfId="1" applyFont="1" applyAlignment="1">
      <alignment wrapText="1"/>
    </xf>
    <xf numFmtId="0" fontId="18" fillId="20" borderId="18" xfId="1" applyFont="1" applyFill="1" applyBorder="1" applyAlignment="1">
      <alignment horizontal="center"/>
    </xf>
    <xf numFmtId="172" fontId="32" fillId="20" borderId="14" xfId="1" applyNumberFormat="1" applyFont="1" applyFill="1" applyBorder="1" applyAlignment="1">
      <alignment horizontal="center"/>
    </xf>
    <xf numFmtId="9" fontId="28" fillId="20" borderId="2" xfId="2" applyFont="1" applyFill="1" applyBorder="1" applyAlignment="1">
      <alignment horizontal="center"/>
    </xf>
    <xf numFmtId="0" fontId="18" fillId="0" borderId="15" xfId="1" applyFont="1" applyFill="1" applyBorder="1" applyAlignment="1">
      <alignment horizontal="center"/>
    </xf>
    <xf numFmtId="172" fontId="32" fillId="0" borderId="0" xfId="1" applyNumberFormat="1" applyFont="1" applyFill="1" applyBorder="1" applyAlignment="1">
      <alignment horizontal="center"/>
    </xf>
    <xf numFmtId="9" fontId="17" fillId="0" borderId="15" xfId="2" applyFont="1" applyBorder="1" applyAlignment="1">
      <alignment horizontal="center"/>
    </xf>
    <xf numFmtId="172" fontId="32" fillId="0" borderId="0" xfId="2" applyNumberFormat="1" applyFont="1" applyBorder="1" applyAlignment="1">
      <alignment horizontal="center"/>
    </xf>
    <xf numFmtId="9" fontId="28" fillId="0" borderId="16" xfId="2" applyFont="1" applyBorder="1" applyAlignment="1">
      <alignment horizontal="center"/>
    </xf>
    <xf numFmtId="172" fontId="28" fillId="0" borderId="0" xfId="1" applyNumberFormat="1" applyFont="1" applyFill="1" applyAlignment="1">
      <alignment horizontal="center"/>
    </xf>
    <xf numFmtId="0" fontId="18" fillId="20" borderId="15" xfId="1" applyFont="1" applyFill="1" applyBorder="1" applyAlignment="1">
      <alignment horizontal="center"/>
    </xf>
    <xf numFmtId="172" fontId="32" fillId="20" borderId="0" xfId="1" applyNumberFormat="1" applyFont="1" applyFill="1" applyBorder="1" applyAlignment="1">
      <alignment horizontal="center"/>
    </xf>
    <xf numFmtId="172" fontId="32" fillId="0" borderId="0" xfId="1" applyNumberFormat="1" applyFont="1" applyBorder="1" applyAlignment="1">
      <alignment horizontal="center"/>
    </xf>
    <xf numFmtId="0" fontId="17" fillId="0" borderId="16" xfId="1" applyFont="1" applyBorder="1"/>
    <xf numFmtId="0" fontId="17" fillId="0" borderId="15" xfId="1" applyFont="1" applyBorder="1"/>
    <xf numFmtId="0" fontId="17" fillId="0" borderId="0" xfId="1" applyFont="1" applyBorder="1"/>
    <xf numFmtId="3" fontId="32" fillId="20" borderId="16" xfId="2" applyNumberFormat="1" applyFont="1" applyFill="1" applyBorder="1" applyAlignment="1">
      <alignment horizontal="center"/>
    </xf>
    <xf numFmtId="9" fontId="32" fillId="0" borderId="16" xfId="2" applyFont="1" applyBorder="1" applyAlignment="1">
      <alignment horizontal="center"/>
    </xf>
    <xf numFmtId="9" fontId="32" fillId="0" borderId="16" xfId="2" applyFont="1" applyFill="1" applyBorder="1" applyAlignment="1">
      <alignment horizontal="center"/>
    </xf>
    <xf numFmtId="1" fontId="32" fillId="0" borderId="16" xfId="2" applyNumberFormat="1" applyFont="1" applyBorder="1" applyAlignment="1">
      <alignment horizontal="center"/>
    </xf>
    <xf numFmtId="3" fontId="32" fillId="20" borderId="6" xfId="2" applyNumberFormat="1" applyFont="1" applyFill="1" applyBorder="1" applyAlignment="1">
      <alignment horizontal="center"/>
    </xf>
    <xf numFmtId="1" fontId="28" fillId="0" borderId="6" xfId="1" applyNumberFormat="1" applyFont="1" applyFill="1" applyBorder="1" applyAlignment="1">
      <alignment horizontal="center"/>
    </xf>
    <xf numFmtId="0" fontId="17" fillId="0" borderId="9" xfId="1" applyFont="1" applyBorder="1"/>
    <xf numFmtId="2" fontId="32" fillId="0" borderId="6" xfId="2" applyNumberFormat="1" applyFont="1" applyBorder="1" applyAlignment="1">
      <alignment horizontal="center"/>
    </xf>
    <xf numFmtId="0" fontId="32" fillId="0" borderId="3" xfId="1" applyFont="1" applyBorder="1" applyAlignment="1">
      <alignment horizontal="center"/>
    </xf>
    <xf numFmtId="9" fontId="17" fillId="0" borderId="18" xfId="2" applyFont="1" applyBorder="1" applyAlignment="1">
      <alignment horizontal="center"/>
    </xf>
    <xf numFmtId="172" fontId="32" fillId="0" borderId="14" xfId="1" applyNumberFormat="1" applyFont="1" applyFill="1" applyBorder="1" applyAlignment="1">
      <alignment horizontal="center"/>
    </xf>
    <xf numFmtId="9" fontId="28" fillId="0" borderId="2" xfId="2" applyFont="1" applyFill="1" applyBorder="1" applyAlignment="1">
      <alignment horizontal="center"/>
    </xf>
    <xf numFmtId="1" fontId="32" fillId="0" borderId="6" xfId="2" applyNumberFormat="1" applyFont="1" applyFill="1" applyBorder="1" applyAlignment="1">
      <alignment horizontal="center"/>
    </xf>
    <xf numFmtId="1" fontId="32" fillId="0" borderId="6" xfId="2" applyNumberFormat="1" applyFont="1" applyBorder="1" applyAlignment="1">
      <alignment horizontal="center"/>
    </xf>
    <xf numFmtId="0" fontId="24" fillId="0" borderId="0" xfId="1" applyFont="1"/>
    <xf numFmtId="0" fontId="31" fillId="0" borderId="3" xfId="1" applyFont="1" applyBorder="1" applyAlignment="1">
      <alignment horizontal="center"/>
    </xf>
    <xf numFmtId="168" fontId="32" fillId="0" borderId="16" xfId="2" applyNumberFormat="1" applyFont="1" applyFill="1" applyBorder="1" applyAlignment="1">
      <alignment horizontal="center"/>
    </xf>
    <xf numFmtId="0" fontId="27" fillId="21" borderId="3" xfId="1" applyFont="1" applyFill="1" applyBorder="1" applyAlignment="1">
      <alignment horizontal="center"/>
    </xf>
    <xf numFmtId="0" fontId="30" fillId="0" borderId="7" xfId="1" applyFont="1" applyBorder="1" applyAlignment="1">
      <alignment horizontal="center"/>
    </xf>
    <xf numFmtId="0" fontId="30" fillId="0" borderId="8" xfId="1" applyFont="1" applyBorder="1" applyAlignment="1">
      <alignment horizontal="center"/>
    </xf>
    <xf numFmtId="0" fontId="30" fillId="0" borderId="4" xfId="1" applyFont="1" applyBorder="1" applyAlignment="1">
      <alignment horizontal="center"/>
    </xf>
    <xf numFmtId="0" fontId="27" fillId="21" borderId="3" xfId="1" applyFont="1" applyFill="1" applyBorder="1" applyAlignment="1">
      <alignment horizontal="centerContinuous"/>
    </xf>
    <xf numFmtId="0" fontId="17" fillId="21" borderId="3" xfId="1" applyFont="1" applyFill="1" applyBorder="1" applyAlignment="1">
      <alignment horizontal="centerContinuous"/>
    </xf>
    <xf numFmtId="0" fontId="17" fillId="21" borderId="3" xfId="1" applyFont="1" applyFill="1" applyBorder="1" applyAlignment="1">
      <alignment horizontal="center"/>
    </xf>
    <xf numFmtId="11" fontId="17" fillId="22" borderId="3" xfId="1" applyNumberFormat="1" applyFont="1" applyFill="1" applyBorder="1" applyAlignment="1">
      <alignment horizontal="center"/>
    </xf>
    <xf numFmtId="11" fontId="17" fillId="22" borderId="0" xfId="1" applyNumberFormat="1" applyFont="1" applyFill="1" applyAlignment="1">
      <alignment horizontal="center"/>
    </xf>
    <xf numFmtId="170" fontId="17" fillId="23" borderId="0" xfId="2" applyNumberFormat="1" applyFont="1" applyFill="1" applyAlignment="1">
      <alignment horizontal="center"/>
    </xf>
    <xf numFmtId="164" fontId="17" fillId="22" borderId="0" xfId="1" applyNumberFormat="1" applyFont="1" applyFill="1" applyAlignment="1">
      <alignment horizontal="center"/>
    </xf>
    <xf numFmtId="168" fontId="17" fillId="22" borderId="0" xfId="1" applyNumberFormat="1" applyFont="1" applyFill="1" applyAlignment="1">
      <alignment horizontal="center"/>
    </xf>
    <xf numFmtId="0" fontId="17" fillId="20" borderId="3" xfId="1" applyFont="1" applyFill="1" applyBorder="1" applyAlignment="1">
      <alignment horizontal="center" wrapText="1"/>
    </xf>
    <xf numFmtId="0" fontId="17" fillId="20" borderId="3" xfId="1" applyFont="1" applyFill="1" applyBorder="1" applyAlignment="1">
      <alignment horizontal="center"/>
    </xf>
    <xf numFmtId="0" fontId="17" fillId="0" borderId="3" xfId="1" applyFont="1" applyFill="1" applyBorder="1" applyAlignment="1">
      <alignment horizontal="center" wrapText="1"/>
    </xf>
    <xf numFmtId="0" fontId="17" fillId="0" borderId="3" xfId="1" applyFont="1" applyFill="1" applyBorder="1" applyAlignment="1">
      <alignment horizontal="center"/>
    </xf>
    <xf numFmtId="168" fontId="27" fillId="0" borderId="0" xfId="2" applyNumberFormat="1" applyFont="1" applyAlignment="1">
      <alignment horizontal="center"/>
    </xf>
    <xf numFmtId="9" fontId="17" fillId="0" borderId="0" xfId="2" applyFont="1" applyAlignment="1">
      <alignment horizontal="center"/>
    </xf>
    <xf numFmtId="168" fontId="17" fillId="20" borderId="0" xfId="2" applyNumberFormat="1" applyFont="1" applyFill="1" applyBorder="1" applyAlignment="1">
      <alignment horizontal="center"/>
    </xf>
    <xf numFmtId="168" fontId="17" fillId="0" borderId="15" xfId="2" applyNumberFormat="1" applyFont="1" applyBorder="1" applyAlignment="1">
      <alignment horizontal="center"/>
    </xf>
    <xf numFmtId="168" fontId="17" fillId="0" borderId="0" xfId="2" applyNumberFormat="1" applyFont="1" applyBorder="1" applyAlignment="1">
      <alignment horizontal="center"/>
    </xf>
    <xf numFmtId="0" fontId="27" fillId="24" borderId="3" xfId="1" applyFont="1" applyFill="1" applyBorder="1" applyAlignment="1">
      <alignment horizontal="centerContinuous"/>
    </xf>
    <xf numFmtId="0" fontId="17" fillId="24" borderId="3" xfId="1" applyFont="1" applyFill="1" applyBorder="1" applyAlignment="1">
      <alignment horizontal="centerContinuous"/>
    </xf>
    <xf numFmtId="0" fontId="17" fillId="24" borderId="3" xfId="1" applyFont="1" applyFill="1" applyBorder="1"/>
    <xf numFmtId="0" fontId="17" fillId="24" borderId="3" xfId="1" applyFont="1" applyFill="1" applyBorder="1" applyAlignment="1">
      <alignment horizontal="center"/>
    </xf>
    <xf numFmtId="174" fontId="17" fillId="0" borderId="0" xfId="1" applyNumberFormat="1" applyFont="1" applyFill="1" applyAlignment="1">
      <alignment horizontal="center"/>
    </xf>
    <xf numFmtId="0" fontId="17" fillId="0" borderId="0" xfId="1" applyFont="1" applyFill="1"/>
    <xf numFmtId="172" fontId="28" fillId="0" borderId="0" xfId="1" applyNumberFormat="1" applyFont="1" applyFill="1" applyAlignment="1"/>
    <xf numFmtId="0" fontId="17" fillId="0" borderId="0" xfId="1" applyFont="1" applyAlignment="1">
      <alignment horizontal="center"/>
    </xf>
    <xf numFmtId="0" fontId="18" fillId="0" borderId="15" xfId="1" applyFont="1" applyBorder="1"/>
    <xf numFmtId="0" fontId="17" fillId="0" borderId="3" xfId="1" applyFont="1" applyBorder="1" applyAlignment="1">
      <alignment horizontal="right"/>
    </xf>
    <xf numFmtId="0" fontId="17" fillId="0" borderId="3" xfId="1" applyFont="1" applyBorder="1" applyAlignment="1">
      <alignment horizontal="center"/>
    </xf>
    <xf numFmtId="0" fontId="17" fillId="20" borderId="3" xfId="1" applyFont="1" applyFill="1" applyBorder="1" applyAlignment="1">
      <alignment horizontal="right"/>
    </xf>
    <xf numFmtId="168" fontId="17" fillId="0" borderId="3" xfId="1" applyNumberFormat="1" applyFont="1" applyBorder="1" applyAlignment="1">
      <alignment horizontal="center"/>
    </xf>
    <xf numFmtId="0" fontId="35" fillId="0" borderId="0" xfId="1" applyFont="1" applyAlignment="1">
      <alignment horizontal="center"/>
    </xf>
    <xf numFmtId="0" fontId="28" fillId="20" borderId="3" xfId="1" applyFont="1" applyFill="1" applyBorder="1" applyAlignment="1">
      <alignment horizontal="center"/>
    </xf>
    <xf numFmtId="168" fontId="17" fillId="0" borderId="3" xfId="1" applyNumberFormat="1" applyFont="1" applyBorder="1" applyAlignment="1">
      <alignment horizontal="right"/>
    </xf>
    <xf numFmtId="168" fontId="28" fillId="0" borderId="3" xfId="1" applyNumberFormat="1" applyFont="1" applyBorder="1" applyAlignment="1">
      <alignment horizontal="center"/>
    </xf>
    <xf numFmtId="0" fontId="18" fillId="0" borderId="0" xfId="1" applyFont="1" applyAlignment="1">
      <alignment horizontal="right"/>
    </xf>
    <xf numFmtId="0" fontId="17" fillId="0" borderId="0" xfId="1" applyFont="1" applyBorder="1" applyAlignment="1">
      <alignment horizontal="right"/>
    </xf>
    <xf numFmtId="0" fontId="17" fillId="0" borderId="0" xfId="1" applyFont="1" applyBorder="1" applyAlignment="1"/>
    <xf numFmtId="0" fontId="28" fillId="0" borderId="0" xfId="1" applyFont="1" applyBorder="1" applyAlignment="1">
      <alignment horizontal="center"/>
    </xf>
    <xf numFmtId="168" fontId="17" fillId="0" borderId="0" xfId="1" applyNumberFormat="1" applyFont="1" applyBorder="1" applyAlignment="1">
      <alignment horizontal="center"/>
    </xf>
    <xf numFmtId="0" fontId="18" fillId="0" borderId="0" xfId="1" applyFont="1" applyBorder="1" applyAlignment="1">
      <alignment horizontal="right"/>
    </xf>
    <xf numFmtId="0" fontId="18" fillId="0" borderId="0" xfId="1" applyFont="1" applyBorder="1"/>
    <xf numFmtId="0" fontId="17" fillId="0" borderId="0" xfId="1" quotePrefix="1" applyFont="1"/>
    <xf numFmtId="0" fontId="27" fillId="0" borderId="0" xfId="1" applyFont="1" applyFill="1" applyBorder="1" applyAlignment="1"/>
    <xf numFmtId="0" fontId="27" fillId="24" borderId="7" xfId="1" applyFont="1" applyFill="1" applyBorder="1" applyAlignment="1">
      <alignment horizontal="centerContinuous"/>
    </xf>
    <xf numFmtId="0" fontId="17" fillId="24" borderId="8" xfId="1" applyFont="1" applyFill="1" applyBorder="1" applyAlignment="1">
      <alignment horizontal="centerContinuous"/>
    </xf>
    <xf numFmtId="0" fontId="27" fillId="24" borderId="8" xfId="1" applyFont="1" applyFill="1" applyBorder="1" applyAlignment="1">
      <alignment horizontal="right"/>
    </xf>
    <xf numFmtId="0" fontId="27" fillId="24" borderId="8" xfId="1" applyFont="1" applyFill="1" applyBorder="1" applyAlignment="1">
      <alignment horizontal="left"/>
    </xf>
    <xf numFmtId="0" fontId="27" fillId="24" borderId="4" xfId="1" applyFont="1" applyFill="1" applyBorder="1" applyAlignment="1">
      <alignment horizontal="left"/>
    </xf>
    <xf numFmtId="0" fontId="32" fillId="0" borderId="7" xfId="1" applyFont="1" applyBorder="1" applyAlignment="1">
      <alignment horizontal="centerContinuous"/>
    </xf>
    <xf numFmtId="0" fontId="32" fillId="0" borderId="8" xfId="1" applyFont="1" applyBorder="1" applyAlignment="1">
      <alignment horizontal="centerContinuous"/>
    </xf>
    <xf numFmtId="0" fontId="32" fillId="0" borderId="4" xfId="1" applyFont="1" applyBorder="1" applyAlignment="1">
      <alignment horizontal="centerContinuous"/>
    </xf>
    <xf numFmtId="0" fontId="17" fillId="25" borderId="3" xfId="1" applyFont="1" applyFill="1" applyBorder="1" applyAlignment="1">
      <alignment horizontal="center" wrapText="1"/>
    </xf>
    <xf numFmtId="0" fontId="32" fillId="20" borderId="3" xfId="1" applyFont="1" applyFill="1" applyBorder="1" applyAlignment="1">
      <alignment horizontal="center"/>
    </xf>
    <xf numFmtId="0" fontId="32" fillId="0" borderId="4" xfId="1" applyFont="1" applyFill="1" applyBorder="1" applyAlignment="1">
      <alignment horizontal="center" wrapText="1"/>
    </xf>
    <xf numFmtId="0" fontId="32" fillId="0" borderId="3" xfId="1" applyFont="1" applyFill="1" applyBorder="1" applyAlignment="1">
      <alignment horizontal="center"/>
    </xf>
    <xf numFmtId="9" fontId="28" fillId="25" borderId="0" xfId="2" applyFont="1" applyFill="1" applyAlignment="1">
      <alignment horizontal="center"/>
    </xf>
    <xf numFmtId="11" fontId="17" fillId="25" borderId="0" xfId="1" applyNumberFormat="1" applyFont="1" applyFill="1" applyAlignment="1">
      <alignment horizontal="center"/>
    </xf>
    <xf numFmtId="164" fontId="32" fillId="20" borderId="0" xfId="1" applyNumberFormat="1" applyFont="1" applyFill="1" applyBorder="1" applyAlignment="1">
      <alignment horizontal="center"/>
    </xf>
    <xf numFmtId="0" fontId="17" fillId="0" borderId="0" xfId="1" applyFont="1" applyFill="1" applyBorder="1" applyAlignment="1">
      <alignment horizontal="center"/>
    </xf>
    <xf numFmtId="172" fontId="28" fillId="0" borderId="0" xfId="1" applyNumberFormat="1" applyFont="1" applyFill="1" applyBorder="1" applyAlignment="1">
      <alignment horizontal="center"/>
    </xf>
    <xf numFmtId="172" fontId="32" fillId="0" borderId="16" xfId="1" applyNumberFormat="1" applyFont="1" applyBorder="1" applyAlignment="1"/>
    <xf numFmtId="172" fontId="17" fillId="0" borderId="15" xfId="1" applyNumberFormat="1" applyFont="1" applyFill="1" applyBorder="1" applyAlignment="1">
      <alignment horizontal="center"/>
    </xf>
    <xf numFmtId="172" fontId="36" fillId="0" borderId="0" xfId="1" applyNumberFormat="1" applyFont="1" applyFill="1" applyBorder="1" applyAlignment="1">
      <alignment horizontal="center"/>
    </xf>
    <xf numFmtId="172" fontId="31" fillId="0" borderId="16" xfId="1" applyNumberFormat="1" applyFont="1" applyBorder="1" applyAlignment="1"/>
    <xf numFmtId="172" fontId="17" fillId="0" borderId="0" xfId="1" applyNumberFormat="1" applyFont="1" applyFill="1" applyBorder="1" applyAlignment="1">
      <alignment horizontal="center"/>
    </xf>
    <xf numFmtId="172" fontId="17" fillId="0" borderId="16" xfId="1" applyNumberFormat="1" applyFont="1" applyBorder="1"/>
    <xf numFmtId="172" fontId="28" fillId="0" borderId="0" xfId="1" quotePrefix="1" applyNumberFormat="1" applyFont="1" applyFill="1" applyBorder="1" applyAlignment="1">
      <alignment horizontal="center"/>
    </xf>
    <xf numFmtId="172" fontId="36" fillId="0" borderId="0" xfId="1" quotePrefix="1" applyNumberFormat="1" applyFont="1" applyFill="1" applyBorder="1" applyAlignment="1">
      <alignment horizontal="center"/>
    </xf>
    <xf numFmtId="11" fontId="17" fillId="0" borderId="0" xfId="1" applyNumberFormat="1" applyFont="1"/>
    <xf numFmtId="11" fontId="17" fillId="0" borderId="0" xfId="1" applyNumberFormat="1" applyFont="1" applyFill="1" applyAlignment="1">
      <alignment horizontal="center"/>
    </xf>
    <xf numFmtId="0" fontId="17" fillId="0" borderId="4" xfId="1" applyFont="1" applyBorder="1" applyAlignment="1">
      <alignment horizontal="right"/>
    </xf>
    <xf numFmtId="168" fontId="28" fillId="20" borderId="3" xfId="1" applyNumberFormat="1" applyFont="1" applyFill="1" applyBorder="1" applyAlignment="1">
      <alignment horizontal="center"/>
    </xf>
    <xf numFmtId="168" fontId="17" fillId="0" borderId="4" xfId="1" applyNumberFormat="1" applyFont="1" applyBorder="1" applyAlignment="1">
      <alignment horizontal="right"/>
    </xf>
    <xf numFmtId="164" fontId="17" fillId="0" borderId="0" xfId="1" applyNumberFormat="1" applyFont="1" applyFill="1" applyAlignment="1">
      <alignment horizontal="center"/>
    </xf>
    <xf numFmtId="164" fontId="32" fillId="0" borderId="0" xfId="1" applyNumberFormat="1" applyFont="1" applyFill="1" applyBorder="1" applyAlignment="1">
      <alignment horizontal="center"/>
    </xf>
    <xf numFmtId="9" fontId="28" fillId="0" borderId="0" xfId="2" applyFont="1"/>
    <xf numFmtId="0" fontId="17" fillId="0" borderId="3" xfId="1" applyFont="1" applyFill="1" applyBorder="1" applyAlignment="1">
      <alignment horizontal="right"/>
    </xf>
    <xf numFmtId="9" fontId="17" fillId="0" borderId="0" xfId="2" applyFont="1"/>
    <xf numFmtId="2" fontId="28" fillId="0" borderId="0" xfId="1" applyNumberFormat="1" applyFont="1" applyFill="1" applyBorder="1"/>
    <xf numFmtId="0" fontId="17" fillId="0" borderId="0" xfId="1" applyFont="1" applyFill="1" applyBorder="1" applyAlignment="1">
      <alignment horizontal="centerContinuous"/>
    </xf>
    <xf numFmtId="9" fontId="17" fillId="0" borderId="0" xfId="2" applyFont="1" applyFill="1" applyBorder="1"/>
    <xf numFmtId="2" fontId="17" fillId="0" borderId="0" xfId="1" applyNumberFormat="1" applyFont="1" applyFill="1" applyBorder="1"/>
    <xf numFmtId="0" fontId="17" fillId="24" borderId="4" xfId="1" applyFont="1" applyFill="1" applyBorder="1" applyAlignment="1">
      <alignment horizontal="center"/>
    </xf>
    <xf numFmtId="0" fontId="17" fillId="0" borderId="5" xfId="1" applyFont="1" applyBorder="1" applyAlignment="1">
      <alignment horizontal="center" wrapText="1"/>
    </xf>
    <xf numFmtId="0" fontId="17" fillId="25" borderId="5" xfId="1" applyFont="1" applyFill="1" applyBorder="1" applyAlignment="1">
      <alignment horizontal="center" wrapText="1"/>
    </xf>
    <xf numFmtId="168" fontId="37" fillId="0" borderId="0" xfId="2" applyNumberFormat="1" applyFont="1" applyAlignment="1">
      <alignment horizontal="center"/>
    </xf>
    <xf numFmtId="168" fontId="17" fillId="20" borderId="3" xfId="1" applyNumberFormat="1" applyFont="1" applyFill="1" applyBorder="1" applyAlignment="1">
      <alignment horizontal="center"/>
    </xf>
    <xf numFmtId="0" fontId="27" fillId="24" borderId="7" xfId="1" applyFont="1" applyFill="1" applyBorder="1" applyAlignment="1">
      <alignment horizontal="center"/>
    </xf>
    <xf numFmtId="0" fontId="27" fillId="24" borderId="4" xfId="1" applyFont="1" applyFill="1" applyBorder="1" applyAlignment="1">
      <alignment horizontal="center"/>
    </xf>
    <xf numFmtId="0" fontId="27" fillId="24" borderId="3" xfId="1" applyFont="1" applyFill="1" applyBorder="1" applyAlignment="1">
      <alignment horizontal="center"/>
    </xf>
    <xf numFmtId="0" fontId="27" fillId="0" borderId="0" xfId="1" applyFont="1" applyAlignment="1">
      <alignment horizontal="center"/>
    </xf>
    <xf numFmtId="164" fontId="17" fillId="0" borderId="0" xfId="1" applyNumberFormat="1" applyFont="1" applyAlignment="1">
      <alignment horizontal="center"/>
    </xf>
    <xf numFmtId="2" fontId="27" fillId="0" borderId="0" xfId="1" applyNumberFormat="1" applyFont="1" applyAlignment="1">
      <alignment horizontal="center"/>
    </xf>
    <xf numFmtId="0" fontId="30" fillId="0" borderId="0" xfId="1" applyFont="1" applyBorder="1" applyAlignment="1">
      <alignment horizontal="center"/>
    </xf>
    <xf numFmtId="172" fontId="31" fillId="0" borderId="0" xfId="1" applyNumberFormat="1" applyFont="1" applyBorder="1" applyAlignment="1"/>
    <xf numFmtId="172" fontId="17" fillId="0" borderId="0" xfId="1" applyNumberFormat="1" applyFont="1" applyBorder="1"/>
    <xf numFmtId="167" fontId="17" fillId="0" borderId="0" xfId="1" applyNumberFormat="1" applyFont="1" applyAlignment="1">
      <alignment horizontal="center"/>
    </xf>
    <xf numFmtId="0" fontId="17" fillId="0" borderId="7" xfId="1" applyFont="1" applyBorder="1" applyAlignment="1">
      <alignment horizontal="center"/>
    </xf>
    <xf numFmtId="168" fontId="28" fillId="0" borderId="7" xfId="1" applyNumberFormat="1" applyFont="1" applyBorder="1" applyAlignment="1">
      <alignment horizontal="center"/>
    </xf>
    <xf numFmtId="168" fontId="28" fillId="0" borderId="3" xfId="1" applyNumberFormat="1" applyFont="1" applyFill="1" applyBorder="1" applyAlignment="1">
      <alignment horizontal="center"/>
    </xf>
    <xf numFmtId="2" fontId="28" fillId="0" borderId="0" xfId="1" applyNumberFormat="1" applyFont="1" applyFill="1" applyBorder="1" applyAlignment="1">
      <alignment horizontal="center"/>
    </xf>
    <xf numFmtId="0" fontId="36" fillId="0" borderId="0" xfId="1" applyFont="1" applyFill="1" applyAlignment="1">
      <alignment horizontal="left"/>
    </xf>
    <xf numFmtId="0" fontId="36" fillId="0" borderId="0" xfId="1" quotePrefix="1" applyFont="1" applyFill="1" applyAlignment="1">
      <alignment horizontal="left"/>
    </xf>
    <xf numFmtId="0" fontId="32" fillId="0" borderId="4" xfId="1" applyFont="1" applyFill="1" applyBorder="1" applyAlignment="1">
      <alignment horizontal="center"/>
    </xf>
    <xf numFmtId="9" fontId="17" fillId="0" borderId="0" xfId="1" applyNumberFormat="1" applyFont="1" applyFill="1" applyBorder="1"/>
    <xf numFmtId="173" fontId="17" fillId="0" borderId="0" xfId="2" applyNumberFormat="1" applyFont="1" applyFill="1" applyBorder="1" applyAlignment="1">
      <alignment horizontal="center"/>
    </xf>
    <xf numFmtId="172" fontId="17" fillId="0" borderId="17" xfId="1" applyNumberFormat="1" applyFont="1" applyFill="1" applyBorder="1" applyAlignment="1">
      <alignment horizontal="center"/>
    </xf>
    <xf numFmtId="0" fontId="17" fillId="0" borderId="4" xfId="1" applyFont="1" applyBorder="1" applyAlignment="1">
      <alignment horizontal="center"/>
    </xf>
    <xf numFmtId="168" fontId="28" fillId="0" borderId="4" xfId="1" applyNumberFormat="1" applyFont="1" applyBorder="1" applyAlignment="1">
      <alignment horizontal="center"/>
    </xf>
    <xf numFmtId="9" fontId="28" fillId="0" borderId="0" xfId="2" applyFont="1" applyFill="1" applyBorder="1"/>
    <xf numFmtId="9" fontId="17" fillId="0" borderId="0" xfId="2" applyFont="1" applyBorder="1"/>
    <xf numFmtId="2" fontId="17" fillId="0" borderId="0" xfId="1" applyNumberFormat="1" applyFont="1" applyBorder="1"/>
    <xf numFmtId="0" fontId="27" fillId="23" borderId="3" xfId="1" applyFont="1" applyFill="1" applyBorder="1" applyAlignment="1">
      <alignment horizontal="centerContinuous"/>
    </xf>
    <xf numFmtId="0" fontId="17" fillId="23" borderId="3" xfId="1" applyFont="1" applyFill="1" applyBorder="1" applyAlignment="1">
      <alignment horizontal="centerContinuous"/>
    </xf>
    <xf numFmtId="0" fontId="18" fillId="23" borderId="3" xfId="1" applyFont="1" applyFill="1" applyBorder="1" applyAlignment="1">
      <alignment horizontal="center" wrapText="1"/>
    </xf>
    <xf numFmtId="38" fontId="28" fillId="0" borderId="0" xfId="3" applyNumberFormat="1" applyFont="1" applyAlignment="1">
      <alignment horizontal="center"/>
    </xf>
    <xf numFmtId="0" fontId="17" fillId="23" borderId="3" xfId="1" applyFont="1" applyFill="1" applyBorder="1" applyAlignment="1">
      <alignment horizontal="center"/>
    </xf>
    <xf numFmtId="0" fontId="35" fillId="23" borderId="3" xfId="1" applyFont="1" applyFill="1" applyBorder="1" applyAlignment="1">
      <alignment horizontal="centerContinuous"/>
    </xf>
    <xf numFmtId="0" fontId="17" fillId="0" borderId="0" xfId="1" applyFont="1" applyFill="1" applyBorder="1" applyAlignment="1"/>
    <xf numFmtId="0" fontId="17" fillId="23" borderId="3" xfId="1" applyFont="1" applyFill="1" applyBorder="1" applyAlignment="1">
      <alignment horizontal="right"/>
    </xf>
    <xf numFmtId="38" fontId="28" fillId="23" borderId="3" xfId="3" applyNumberFormat="1" applyFont="1" applyFill="1" applyBorder="1" applyAlignment="1">
      <alignment horizontal="centerContinuous"/>
    </xf>
    <xf numFmtId="9" fontId="38" fillId="0" borderId="0" xfId="2" applyFont="1"/>
    <xf numFmtId="164" fontId="28" fillId="0" borderId="0" xfId="1" applyNumberFormat="1" applyFont="1" applyAlignment="1">
      <alignment horizontal="center"/>
    </xf>
    <xf numFmtId="172" fontId="17" fillId="22" borderId="3" xfId="1" applyNumberFormat="1" applyFont="1" applyFill="1" applyBorder="1" applyAlignment="1">
      <alignment horizontal="center"/>
    </xf>
    <xf numFmtId="173" fontId="28" fillId="0" borderId="0" xfId="2" applyNumberFormat="1" applyFont="1" applyAlignment="1">
      <alignment horizontal="center"/>
    </xf>
    <xf numFmtId="175" fontId="17" fillId="0" borderId="0" xfId="3" applyNumberFormat="1" applyFont="1" applyBorder="1" applyAlignment="1">
      <alignment horizontal="center"/>
    </xf>
    <xf numFmtId="0" fontId="28" fillId="0" borderId="0" xfId="1" applyFont="1" applyAlignment="1">
      <alignment horizontal="center"/>
    </xf>
    <xf numFmtId="0" fontId="17" fillId="0" borderId="0" xfId="1" applyFont="1" applyBorder="1" applyAlignment="1">
      <alignment horizontal="centerContinuous"/>
    </xf>
    <xf numFmtId="173" fontId="17" fillId="0" borderId="0" xfId="2" applyNumberFormat="1" applyFont="1" applyAlignment="1">
      <alignment horizontal="center"/>
    </xf>
    <xf numFmtId="9" fontId="17" fillId="0" borderId="0" xfId="1" applyNumberFormat="1" applyFont="1" applyBorder="1"/>
    <xf numFmtId="173" fontId="17" fillId="0" borderId="0" xfId="2" applyNumberFormat="1" applyFont="1" applyBorder="1" applyAlignment="1">
      <alignment horizontal="center"/>
    </xf>
    <xf numFmtId="0" fontId="17" fillId="0" borderId="0" xfId="1" quotePrefix="1" applyFont="1" applyFill="1" applyBorder="1" applyAlignment="1">
      <alignment horizontal="center"/>
    </xf>
    <xf numFmtId="0" fontId="17" fillId="0" borderId="10" xfId="1" applyFont="1" applyBorder="1" applyAlignment="1">
      <alignment horizontal="center"/>
    </xf>
    <xf numFmtId="0" fontId="17" fillId="0" borderId="0" xfId="1" quotePrefix="1" applyFont="1" applyAlignment="1">
      <alignment horizontal="center"/>
    </xf>
    <xf numFmtId="38" fontId="17" fillId="0" borderId="0" xfId="3" applyNumberFormat="1" applyFont="1" applyBorder="1" applyAlignment="1">
      <alignment horizontal="right"/>
    </xf>
    <xf numFmtId="38" fontId="17" fillId="0" borderId="10" xfId="3" applyNumberFormat="1" applyFont="1" applyBorder="1" applyAlignment="1">
      <alignment horizontal="center"/>
    </xf>
    <xf numFmtId="172" fontId="17" fillId="0" borderId="0" xfId="1" applyNumberFormat="1" applyFont="1" applyAlignment="1">
      <alignment horizontal="center"/>
    </xf>
    <xf numFmtId="40" fontId="17" fillId="0" borderId="0" xfId="3" applyNumberFormat="1" applyFont="1" applyBorder="1" applyAlignment="1">
      <alignment horizontal="center"/>
    </xf>
    <xf numFmtId="172" fontId="17" fillId="0" borderId="0" xfId="1" applyNumberFormat="1" applyFont="1" applyAlignment="1">
      <alignment horizontal="left"/>
    </xf>
    <xf numFmtId="40" fontId="28" fillId="0" borderId="0" xfId="3" applyNumberFormat="1" applyFont="1" applyBorder="1" applyAlignment="1">
      <alignment horizontal="center"/>
    </xf>
    <xf numFmtId="2" fontId="28" fillId="0" borderId="0" xfId="2" applyNumberFormat="1" applyFont="1" applyAlignment="1">
      <alignment horizontal="center"/>
    </xf>
    <xf numFmtId="0" fontId="28" fillId="0" borderId="0" xfId="1" applyFont="1" applyBorder="1" applyAlignment="1">
      <alignment horizontal="right"/>
    </xf>
    <xf numFmtId="0" fontId="17" fillId="25" borderId="0" xfId="1" applyFont="1" applyFill="1"/>
    <xf numFmtId="172" fontId="17" fillId="26" borderId="3" xfId="1" applyNumberFormat="1" applyFont="1" applyFill="1" applyBorder="1" applyAlignment="1">
      <alignment horizontal="center"/>
    </xf>
    <xf numFmtId="0" fontId="17" fillId="26" borderId="3" xfId="1" applyFont="1" applyFill="1" applyBorder="1" applyAlignment="1">
      <alignment horizontal="center"/>
    </xf>
    <xf numFmtId="164" fontId="17" fillId="26" borderId="0" xfId="1" applyNumberFormat="1" applyFont="1" applyFill="1" applyAlignment="1">
      <alignment horizontal="center"/>
    </xf>
    <xf numFmtId="0" fontId="17" fillId="26" borderId="0" xfId="1" applyFont="1" applyFill="1"/>
    <xf numFmtId="11" fontId="17" fillId="26" borderId="0" xfId="1" applyNumberFormat="1" applyFont="1" applyFill="1" applyAlignment="1">
      <alignment horizontal="center"/>
    </xf>
    <xf numFmtId="168" fontId="17" fillId="26" borderId="0" xfId="1" applyNumberFormat="1" applyFont="1" applyFill="1" applyAlignment="1">
      <alignment horizontal="center"/>
    </xf>
    <xf numFmtId="9" fontId="35" fillId="0" borderId="0" xfId="2" applyFont="1"/>
    <xf numFmtId="172" fontId="28" fillId="27" borderId="0" xfId="1" applyNumberFormat="1" applyFont="1" applyFill="1" applyAlignment="1">
      <alignment horizontal="center"/>
    </xf>
    <xf numFmtId="38" fontId="28" fillId="0" borderId="0" xfId="3" applyNumberFormat="1" applyFont="1" applyAlignment="1">
      <alignment horizontal="center" wrapText="1"/>
    </xf>
    <xf numFmtId="40" fontId="28" fillId="0" borderId="0" xfId="3" applyNumberFormat="1" applyFont="1" applyAlignment="1">
      <alignment horizontal="right"/>
    </xf>
    <xf numFmtId="0" fontId="17" fillId="23" borderId="3" xfId="1" applyFont="1" applyFill="1" applyBorder="1"/>
    <xf numFmtId="9" fontId="35" fillId="0" borderId="0" xfId="2" applyFont="1" applyAlignment="1">
      <alignment horizontal="center"/>
    </xf>
    <xf numFmtId="172" fontId="28" fillId="0" borderId="0" xfId="1" applyNumberFormat="1" applyFont="1" applyAlignment="1"/>
    <xf numFmtId="171" fontId="17" fillId="0" borderId="0" xfId="1" applyNumberFormat="1" applyFont="1" applyAlignment="1">
      <alignment horizontal="center"/>
    </xf>
    <xf numFmtId="1" fontId="17" fillId="0" borderId="0" xfId="1" applyNumberFormat="1" applyFont="1" applyFill="1" applyBorder="1" applyAlignment="1">
      <alignment horizontal="center"/>
    </xf>
    <xf numFmtId="38" fontId="28" fillId="0" borderId="0" xfId="3" applyNumberFormat="1" applyFont="1" applyBorder="1" applyAlignment="1">
      <alignment horizontal="center"/>
    </xf>
    <xf numFmtId="172" fontId="28" fillId="27" borderId="0" xfId="1" quotePrefix="1" applyNumberFormat="1" applyFont="1" applyFill="1" applyAlignment="1">
      <alignment horizontal="center"/>
    </xf>
    <xf numFmtId="0" fontId="30" fillId="0" borderId="0" xfId="1" applyFont="1" applyAlignment="1">
      <alignment horizontal="left"/>
    </xf>
    <xf numFmtId="168" fontId="35" fillId="0" borderId="0" xfId="1" applyNumberFormat="1" applyFont="1" applyAlignment="1">
      <alignment horizontal="center"/>
    </xf>
    <xf numFmtId="3" fontId="35" fillId="0" borderId="0" xfId="1" applyNumberFormat="1" applyFont="1" applyAlignment="1">
      <alignment horizontal="center"/>
    </xf>
    <xf numFmtId="0" fontId="42" fillId="0" borderId="0" xfId="1" applyFont="1" applyAlignment="1">
      <alignment wrapText="1"/>
    </xf>
    <xf numFmtId="0" fontId="43" fillId="0" borderId="0" xfId="1" applyFont="1" applyFill="1" applyAlignment="1">
      <alignment horizontal="left"/>
    </xf>
    <xf numFmtId="2" fontId="36" fillId="0" borderId="0" xfId="1" applyNumberFormat="1" applyFont="1" applyFill="1" applyBorder="1" applyAlignment="1"/>
    <xf numFmtId="1" fontId="17" fillId="25" borderId="0" xfId="1" applyNumberFormat="1" applyFont="1" applyFill="1" applyAlignment="1">
      <alignment horizontal="center"/>
    </xf>
    <xf numFmtId="164" fontId="17" fillId="0" borderId="0" xfId="2" applyNumberFormat="1" applyFont="1" applyAlignment="1">
      <alignment horizontal="center"/>
    </xf>
    <xf numFmtId="164" fontId="17" fillId="0" borderId="0" xfId="1" applyNumberFormat="1" applyFont="1" applyAlignment="1">
      <alignment horizontal="center" wrapText="1"/>
    </xf>
    <xf numFmtId="2" fontId="36" fillId="0" borderId="0" xfId="1" quotePrefix="1" applyNumberFormat="1" applyFont="1" applyFill="1" applyBorder="1" applyAlignment="1"/>
    <xf numFmtId="0" fontId="27" fillId="0" borderId="0" xfId="1" applyFont="1" applyAlignment="1">
      <alignment wrapText="1"/>
    </xf>
    <xf numFmtId="0" fontId="17" fillId="0" borderId="0" xfId="1" applyFont="1" applyAlignment="1">
      <alignment horizontal="right" wrapText="1"/>
    </xf>
    <xf numFmtId="0" fontId="29" fillId="0" borderId="0" xfId="1" applyFont="1"/>
    <xf numFmtId="0" fontId="44" fillId="0" borderId="0" xfId="1" applyFont="1"/>
    <xf numFmtId="0" fontId="45" fillId="0" borderId="0" xfId="1" applyFont="1"/>
    <xf numFmtId="0" fontId="27" fillId="0" borderId="0" xfId="1" applyFont="1"/>
  </cellXfs>
  <cellStyles count="66">
    <cellStyle name="20% - Accent1 2" xfId="4"/>
    <cellStyle name="20% - Accent1 3" xfId="5"/>
    <cellStyle name="20% - Accent2 2" xfId="6"/>
    <cellStyle name="20% - Accent2 3" xfId="7"/>
    <cellStyle name="20% - Accent3 2" xfId="8"/>
    <cellStyle name="20% - Accent3 3" xfId="9"/>
    <cellStyle name="20% - Accent4 2" xfId="10"/>
    <cellStyle name="20% - Accent4 3" xfId="11"/>
    <cellStyle name="20% - Accent5 2" xfId="12"/>
    <cellStyle name="20% - Accent5 3" xfId="13"/>
    <cellStyle name="20% - Accent6 2" xfId="14"/>
    <cellStyle name="20% - Accent6 3" xfId="15"/>
    <cellStyle name="40% - Accent1 2" xfId="16"/>
    <cellStyle name="40% - Accent1 3" xfId="17"/>
    <cellStyle name="40% - Accent2 2" xfId="18"/>
    <cellStyle name="40% - Accent2 3" xfId="19"/>
    <cellStyle name="40% - Accent3 2" xfId="20"/>
    <cellStyle name="40% - Accent3 3" xfId="21"/>
    <cellStyle name="40% - Accent4 2" xfId="22"/>
    <cellStyle name="40% - Accent4 3" xfId="23"/>
    <cellStyle name="40% - Accent5 2" xfId="24"/>
    <cellStyle name="40% - Accent5 3" xfId="25"/>
    <cellStyle name="40% - Accent6 2" xfId="26"/>
    <cellStyle name="40% - Accent6 3" xfId="27"/>
    <cellStyle name="Comma 2" xfId="3"/>
    <cellStyle name="curr0" xfId="28"/>
    <cellStyle name="curr2" xfId="29"/>
    <cellStyle name="Currency 2" xfId="30"/>
    <cellStyle name="date" xfId="31"/>
    <cellStyle name="date a" xfId="32"/>
    <cellStyle name="date b" xfId="33"/>
    <cellStyle name="date c" xfId="34"/>
    <cellStyle name="head" xfId="35"/>
    <cellStyle name="head sep" xfId="36"/>
    <cellStyle name="indent" xfId="37"/>
    <cellStyle name="indent 2" xfId="38"/>
    <cellStyle name="indent 3" xfId="39"/>
    <cellStyle name="indent 4" xfId="40"/>
    <cellStyle name="Normal" xfId="0" builtinId="0"/>
    <cellStyle name="Normal 2" xfId="1"/>
    <cellStyle name="Normal 2 2" xfId="41"/>
    <cellStyle name="Normal 2 3" xfId="42"/>
    <cellStyle name="Normal 2 4" xfId="43"/>
    <cellStyle name="Normal 2 5" xfId="44"/>
    <cellStyle name="Normal 3" xfId="45"/>
    <cellStyle name="Normal 3 2" xfId="46"/>
    <cellStyle name="Normal 3 3" xfId="47"/>
    <cellStyle name="Normal 4" xfId="48"/>
    <cellStyle name="Normal 5" xfId="49"/>
    <cellStyle name="Normal 6" xfId="50"/>
    <cellStyle name="Normal 6 2" xfId="51"/>
    <cellStyle name="Normal 6 2 2" xfId="52"/>
    <cellStyle name="Note 2" xfId="53"/>
    <cellStyle name="Note 3" xfId="54"/>
    <cellStyle name="Note 4" xfId="55"/>
    <cellStyle name="num" xfId="56"/>
    <cellStyle name="num a" xfId="57"/>
    <cellStyle name="num b" xfId="58"/>
    <cellStyle name="num c" xfId="59"/>
    <cellStyle name="num d" xfId="60"/>
    <cellStyle name="num e" xfId="61"/>
    <cellStyle name="Percent 2" xfId="2"/>
    <cellStyle name="shade dk" xfId="62"/>
    <cellStyle name="shade lt" xfId="63"/>
    <cellStyle name="shade md" xfId="64"/>
    <cellStyle name="text" xfId="65"/>
  </cellStyles>
  <dxfs count="5">
    <dxf>
      <font>
        <b/>
        <i val="0"/>
        <strike val="0"/>
      </font>
      <fill>
        <patternFill patternType="none">
          <bgColor auto="1"/>
        </patternFill>
      </fill>
    </dxf>
    <dxf>
      <font>
        <b/>
        <i val="0"/>
        <strike val="0"/>
      </font>
      <fill>
        <patternFill patternType="none">
          <bgColor auto="1"/>
        </patternFill>
      </fill>
    </dxf>
    <dxf>
      <font>
        <b/>
        <i val="0"/>
        <strike val="0"/>
      </font>
      <fill>
        <patternFill patternType="none">
          <bgColor auto="1"/>
        </patternFill>
      </fill>
    </dxf>
    <dxf>
      <font>
        <b/>
        <i val="0"/>
        <strike val="0"/>
      </font>
      <fill>
        <patternFill patternType="none">
          <bgColor auto="1"/>
        </patternFill>
      </fill>
    </dxf>
    <dxf>
      <font>
        <b/>
        <i val="0"/>
        <strike val="0"/>
      </font>
      <fill>
        <patternFill patternType="none">
          <bgColor auto="1"/>
        </patternFill>
      </fill>
    </dxf>
  </dxfs>
  <tableStyles count="0" defaultTableStyle="TableStyleMedium2" defaultPivotStyle="PivotStyleMedium9"/>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entury Schoolbook"/>
                <a:ea typeface="Century Schoolbook"/>
                <a:cs typeface="Century Schoolbook"/>
              </a:defRPr>
            </a:pPr>
            <a:r>
              <a:rPr lang="en-US" sz="1200"/>
              <a:t>Pump Flow vs </a:t>
            </a:r>
            <a:r>
              <a:rPr lang="en-US" sz="1200" u="sng"/>
              <a:t>Head</a:t>
            </a:r>
            <a:r>
              <a:rPr lang="en-US" sz="1200"/>
              <a:t> (Ride Curve) </a:t>
            </a:r>
          </a:p>
        </c:rich>
      </c:tx>
      <c:layout>
        <c:manualLayout>
          <c:xMode val="edge"/>
          <c:yMode val="edge"/>
          <c:x val="0.37277147487846307"/>
          <c:y val="3.5587188612099654E-2"/>
        </c:manualLayout>
      </c:layout>
      <c:overlay val="0"/>
      <c:spPr>
        <a:noFill/>
        <a:ln w="25400">
          <a:noFill/>
        </a:ln>
      </c:spPr>
    </c:title>
    <c:autoTitleDeleted val="0"/>
    <c:plotArea>
      <c:layout>
        <c:manualLayout>
          <c:layoutTarget val="inner"/>
          <c:xMode val="edge"/>
          <c:yMode val="edge"/>
          <c:x val="0.13275783016333212"/>
          <c:y val="0.20989242447802794"/>
          <c:w val="0.81921295198343058"/>
          <c:h val="0.55368174043343465"/>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PLRatio!$A$404:$A$409</c:f>
              <c:numCache>
                <c:formatCode>0%</c:formatCode>
                <c:ptCount val="6"/>
                <c:pt idx="0">
                  <c:v>0</c:v>
                </c:pt>
                <c:pt idx="1">
                  <c:v>0.2</c:v>
                </c:pt>
                <c:pt idx="2">
                  <c:v>0.4</c:v>
                </c:pt>
                <c:pt idx="3">
                  <c:v>0.60000000000000009</c:v>
                </c:pt>
                <c:pt idx="4">
                  <c:v>0.8</c:v>
                </c:pt>
                <c:pt idx="5">
                  <c:v>1</c:v>
                </c:pt>
              </c:numCache>
            </c:numRef>
          </c:xVal>
          <c:yVal>
            <c:numRef>
              <c:f>PLRatio!$C$404:$C$409</c:f>
              <c:numCache>
                <c:formatCode>0.0</c:formatCode>
                <c:ptCount val="6"/>
                <c:pt idx="0">
                  <c:v>75</c:v>
                </c:pt>
                <c:pt idx="1">
                  <c:v>73.2</c:v>
                </c:pt>
                <c:pt idx="2">
                  <c:v>71.399999999999991</c:v>
                </c:pt>
                <c:pt idx="3">
                  <c:v>69</c:v>
                </c:pt>
                <c:pt idx="4">
                  <c:v>65.400000000000006</c:v>
                </c:pt>
                <c:pt idx="5">
                  <c:v>60</c:v>
                </c:pt>
              </c:numCache>
            </c:numRef>
          </c:yVal>
          <c:smooth val="1"/>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PLRatio!$A$404:$A$409</c:f>
              <c:numCache>
                <c:formatCode>0%</c:formatCode>
                <c:ptCount val="6"/>
                <c:pt idx="0">
                  <c:v>0</c:v>
                </c:pt>
                <c:pt idx="1">
                  <c:v>0.2</c:v>
                </c:pt>
                <c:pt idx="2">
                  <c:v>0.4</c:v>
                </c:pt>
                <c:pt idx="3">
                  <c:v>0.60000000000000009</c:v>
                </c:pt>
                <c:pt idx="4">
                  <c:v>0.8</c:v>
                </c:pt>
                <c:pt idx="5">
                  <c:v>1</c:v>
                </c:pt>
              </c:numCache>
            </c:numRef>
          </c:xVal>
          <c:yVal>
            <c:numRef>
              <c:f>PLRatio!$C$404:$C$409</c:f>
              <c:numCache>
                <c:formatCode>0.0</c:formatCode>
                <c:ptCount val="6"/>
                <c:pt idx="0">
                  <c:v>75</c:v>
                </c:pt>
                <c:pt idx="1">
                  <c:v>73.2</c:v>
                </c:pt>
                <c:pt idx="2">
                  <c:v>71.399999999999991</c:v>
                </c:pt>
                <c:pt idx="3">
                  <c:v>69</c:v>
                </c:pt>
                <c:pt idx="4">
                  <c:v>65.400000000000006</c:v>
                </c:pt>
                <c:pt idx="5">
                  <c:v>60</c:v>
                </c:pt>
              </c:numCache>
            </c:numRef>
          </c:yVal>
          <c:smooth val="1"/>
        </c:ser>
        <c:dLbls>
          <c:showLegendKey val="0"/>
          <c:showVal val="0"/>
          <c:showCatName val="0"/>
          <c:showSerName val="0"/>
          <c:showPercent val="0"/>
          <c:showBubbleSize val="0"/>
        </c:dLbls>
        <c:axId val="101103488"/>
        <c:axId val="101110144"/>
      </c:scatterChart>
      <c:valAx>
        <c:axId val="101103488"/>
        <c:scaling>
          <c:orientation val="minMax"/>
        </c:scaling>
        <c:delete val="0"/>
        <c:axPos val="b"/>
        <c:title>
          <c:tx>
            <c:rich>
              <a:bodyPr/>
              <a:lstStyle/>
              <a:p>
                <a:pPr>
                  <a:defRPr sz="1125" b="1" i="0" u="none" strike="noStrike" baseline="0">
                    <a:solidFill>
                      <a:srgbClr val="000000"/>
                    </a:solidFill>
                    <a:latin typeface="Century Schoolbook"/>
                    <a:ea typeface="Century Schoolbook"/>
                    <a:cs typeface="Century Schoolbook"/>
                  </a:defRPr>
                </a:pPr>
                <a:r>
                  <a:rPr lang="en-US"/>
                  <a:t>Flow (GPM)</a:t>
                </a:r>
              </a:p>
            </c:rich>
          </c:tx>
          <c:layout>
            <c:manualLayout>
              <c:xMode val="edge"/>
              <c:yMode val="edge"/>
              <c:x val="0.45331938045831793"/>
              <c:y val="0.8868248942192006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110144"/>
        <c:crosses val="autoZero"/>
        <c:crossBetween val="midCat"/>
      </c:valAx>
      <c:valAx>
        <c:axId val="101110144"/>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Century Schoolbook"/>
                    <a:ea typeface="Century Schoolbook"/>
                    <a:cs typeface="Century Schoolbook"/>
                  </a:defRPr>
                </a:pPr>
                <a:r>
                  <a:rPr lang="en-US"/>
                  <a:t>Head (ft. H2O)</a:t>
                </a:r>
              </a:p>
            </c:rich>
          </c:tx>
          <c:layout>
            <c:manualLayout>
              <c:xMode val="edge"/>
              <c:yMode val="edge"/>
              <c:x val="1.2976854392390581E-2"/>
              <c:y val="0.2871174377224203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10348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Century Schoolbook"/>
          <a:ea typeface="Century Schoolbook"/>
          <a:cs typeface="Century Schoolbook"/>
        </a:defRPr>
      </a:pPr>
      <a:endParaRPr lang="en-US"/>
    </a:p>
  </c:txPr>
  <c:printSettings>
    <c:headerFooter alignWithMargins="0"/>
    <c:pageMargins b="1" l="0.75000000000001465" r="0.7500000000000146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entury Schoolbook"/>
                <a:ea typeface="Century Schoolbook"/>
                <a:cs typeface="Century Schoolbook"/>
              </a:defRPr>
            </a:pPr>
            <a:r>
              <a:rPr lang="en-US" sz="1200"/>
              <a:t>Pump Flow vs. </a:t>
            </a:r>
            <a:r>
              <a:rPr lang="en-US" sz="1200" u="sng"/>
              <a:t>Power</a:t>
            </a:r>
            <a:r>
              <a:rPr lang="en-US" sz="1200"/>
              <a:t> (Ride Curve)</a:t>
            </a:r>
          </a:p>
        </c:rich>
      </c:tx>
      <c:layout>
        <c:manualLayout>
          <c:xMode val="edge"/>
          <c:yMode val="edge"/>
          <c:x val="0.28855729382511397"/>
          <c:y val="3.5587200536103612E-2"/>
        </c:manualLayout>
      </c:layout>
      <c:overlay val="0"/>
      <c:spPr>
        <a:noFill/>
        <a:ln w="25400">
          <a:noFill/>
        </a:ln>
      </c:spPr>
    </c:title>
    <c:autoTitleDeleted val="0"/>
    <c:plotArea>
      <c:layout>
        <c:manualLayout>
          <c:layoutTarget val="inner"/>
          <c:xMode val="edge"/>
          <c:yMode val="edge"/>
          <c:x val="0.15754586045337807"/>
          <c:y val="0.17567567567566644"/>
          <c:w val="0.79602118965910962"/>
          <c:h val="0.60472972972972971"/>
        </c:manualLayout>
      </c:layout>
      <c:scatterChart>
        <c:scatterStyle val="smoothMarker"/>
        <c:varyColors val="0"/>
        <c:ser>
          <c:idx val="1"/>
          <c:order val="0"/>
          <c:spPr>
            <a:ln w="12700">
              <a:solidFill>
                <a:srgbClr val="FF0000"/>
              </a:solidFill>
              <a:prstDash val="solid"/>
            </a:ln>
          </c:spPr>
          <c:marker>
            <c:symbol val="square"/>
            <c:size val="5"/>
            <c:spPr>
              <a:solidFill>
                <a:srgbClr val="0000FF"/>
              </a:solidFill>
              <a:ln>
                <a:solidFill>
                  <a:srgbClr val="0000FF"/>
                </a:solidFill>
                <a:prstDash val="solid"/>
              </a:ln>
            </c:spPr>
          </c:marker>
          <c:xVal>
            <c:numRef>
              <c:f>PLRatio!$A$404:$A$409</c:f>
              <c:numCache>
                <c:formatCode>0%</c:formatCode>
                <c:ptCount val="6"/>
                <c:pt idx="0">
                  <c:v>0</c:v>
                </c:pt>
                <c:pt idx="1">
                  <c:v>0.2</c:v>
                </c:pt>
                <c:pt idx="2">
                  <c:v>0.4</c:v>
                </c:pt>
                <c:pt idx="3">
                  <c:v>0.60000000000000009</c:v>
                </c:pt>
                <c:pt idx="4">
                  <c:v>0.8</c:v>
                </c:pt>
                <c:pt idx="5">
                  <c:v>1</c:v>
                </c:pt>
              </c:numCache>
            </c:numRef>
          </c:xVal>
          <c:yVal>
            <c:numRef>
              <c:f>PLRatio!$F$404:$F$409</c:f>
              <c:numCache>
                <c:formatCode>0%</c:formatCode>
                <c:ptCount val="6"/>
                <c:pt idx="0">
                  <c:v>0</c:v>
                </c:pt>
                <c:pt idx="1">
                  <c:v>0.25460124223602482</c:v>
                </c:pt>
                <c:pt idx="2">
                  <c:v>0.48274285714285708</c:v>
                </c:pt>
                <c:pt idx="3">
                  <c:v>0.68442484472049681</c:v>
                </c:pt>
                <c:pt idx="4">
                  <c:v>0.85964720496894409</c:v>
                </c:pt>
                <c:pt idx="5">
                  <c:v>1.0084099378881988</c:v>
                </c:pt>
              </c:numCache>
            </c:numRef>
          </c:yVal>
          <c:smooth val="1"/>
        </c:ser>
        <c:dLbls>
          <c:showLegendKey val="0"/>
          <c:showVal val="0"/>
          <c:showCatName val="0"/>
          <c:showSerName val="0"/>
          <c:showPercent val="0"/>
          <c:showBubbleSize val="0"/>
        </c:dLbls>
        <c:axId val="101138432"/>
        <c:axId val="101140736"/>
      </c:scatterChart>
      <c:valAx>
        <c:axId val="101138432"/>
        <c:scaling>
          <c:orientation val="minMax"/>
          <c:max val="1"/>
          <c:min val="0"/>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Century Schoolbook"/>
                    <a:ea typeface="Century Schoolbook"/>
                    <a:cs typeface="Century Schoolbook"/>
                  </a:defRPr>
                </a:pPr>
                <a:r>
                  <a:rPr lang="en-US"/>
                  <a:t>% Pump Flow</a:t>
                </a:r>
              </a:p>
            </c:rich>
          </c:tx>
          <c:layout>
            <c:manualLayout>
              <c:xMode val="edge"/>
              <c:yMode val="edge"/>
              <c:x val="0.43560229313443893"/>
              <c:y val="0.8986772398131086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140736"/>
        <c:crosses val="autoZero"/>
        <c:crossBetween val="midCat"/>
        <c:majorUnit val="0.1"/>
        <c:minorUnit val="2.0000000000000011E-2"/>
      </c:valAx>
      <c:valAx>
        <c:axId val="101140736"/>
        <c:scaling>
          <c:orientation val="minMax"/>
          <c:max val="1"/>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Century Schoolbook"/>
                    <a:ea typeface="Century Schoolbook"/>
                    <a:cs typeface="Century Schoolbook"/>
                  </a:defRPr>
                </a:pPr>
                <a:r>
                  <a:rPr lang="en-US"/>
                  <a:t>% Power</a:t>
                </a:r>
              </a:p>
            </c:rich>
          </c:tx>
          <c:layout>
            <c:manualLayout>
              <c:xMode val="edge"/>
              <c:yMode val="edge"/>
              <c:x val="2.6534051664594559E-2"/>
              <c:y val="0.3582643658904621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13843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Century Schoolbook"/>
          <a:ea typeface="Century Schoolbook"/>
          <a:cs typeface="Century Schoolbook"/>
        </a:defRPr>
      </a:pPr>
      <a:endParaRPr lang="en-US"/>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entury Schoolbook"/>
                <a:ea typeface="Century Schoolbook"/>
                <a:cs typeface="Century Schoolbook"/>
              </a:defRPr>
            </a:pPr>
            <a:r>
              <a:rPr lang="en-US"/>
              <a:t>Pump Flow vs </a:t>
            </a:r>
            <a:r>
              <a:rPr lang="en-US" u="sng"/>
              <a:t>Head</a:t>
            </a:r>
            <a:r>
              <a:rPr lang="en-US"/>
              <a:t> (Var. Speed)</a:t>
            </a:r>
          </a:p>
        </c:rich>
      </c:tx>
      <c:layout>
        <c:manualLayout>
          <c:xMode val="edge"/>
          <c:yMode val="edge"/>
          <c:x val="0.27491961414791038"/>
          <c:y val="3.5369774919614155E-2"/>
        </c:manualLayout>
      </c:layout>
      <c:overlay val="0"/>
      <c:spPr>
        <a:noFill/>
        <a:ln w="25400">
          <a:noFill/>
        </a:ln>
      </c:spPr>
    </c:title>
    <c:autoTitleDeleted val="0"/>
    <c:plotArea>
      <c:layout>
        <c:manualLayout>
          <c:layoutTarget val="inner"/>
          <c:xMode val="edge"/>
          <c:yMode val="edge"/>
          <c:x val="0.17764177504776613"/>
          <c:y val="0.19076951738208742"/>
          <c:w val="0.77259785326812713"/>
          <c:h val="0.62461632304135051"/>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PLRatio!$A$386:$A$396</c:f>
              <c:numCache>
                <c:formatCode>0%</c:formatCode>
                <c:ptCount val="11"/>
                <c:pt idx="0">
                  <c:v>0.3</c:v>
                </c:pt>
                <c:pt idx="1">
                  <c:v>0.37</c:v>
                </c:pt>
                <c:pt idx="2">
                  <c:v>0.44</c:v>
                </c:pt>
                <c:pt idx="3">
                  <c:v>0.51</c:v>
                </c:pt>
                <c:pt idx="4">
                  <c:v>0.57999999999999996</c:v>
                </c:pt>
                <c:pt idx="5">
                  <c:v>0.64999999999999991</c:v>
                </c:pt>
                <c:pt idx="6">
                  <c:v>0.71999999999999986</c:v>
                </c:pt>
                <c:pt idx="7">
                  <c:v>0.78999999999999981</c:v>
                </c:pt>
                <c:pt idx="8">
                  <c:v>0.85999999999999976</c:v>
                </c:pt>
                <c:pt idx="9">
                  <c:v>0.92999999999999972</c:v>
                </c:pt>
                <c:pt idx="10">
                  <c:v>1</c:v>
                </c:pt>
              </c:numCache>
            </c:numRef>
          </c:xVal>
          <c:yVal>
            <c:numRef>
              <c:f>PLRatio!$D$386:$D$396</c:f>
              <c:numCache>
                <c:formatCode>0.0</c:formatCode>
                <c:ptCount val="11"/>
                <c:pt idx="0">
                  <c:v>11.538461538461538</c:v>
                </c:pt>
                <c:pt idx="1">
                  <c:v>23.648846153846154</c:v>
                </c:pt>
                <c:pt idx="2">
                  <c:v>28.664615384615388</c:v>
                </c:pt>
                <c:pt idx="3">
                  <c:v>34.54730769230769</c:v>
                </c:pt>
                <c:pt idx="4">
                  <c:v>41.296923076923079</c:v>
                </c:pt>
                <c:pt idx="5">
                  <c:v>48.913461538461533</c:v>
                </c:pt>
                <c:pt idx="6">
                  <c:v>57.396923076923059</c:v>
                </c:pt>
                <c:pt idx="7">
                  <c:v>66.747307692307658</c:v>
                </c:pt>
                <c:pt idx="8">
                  <c:v>76.964615384615342</c:v>
                </c:pt>
                <c:pt idx="9">
                  <c:v>88.0488461538461</c:v>
                </c:pt>
                <c:pt idx="10">
                  <c:v>100</c:v>
                </c:pt>
              </c:numCache>
            </c:numRef>
          </c:yVal>
          <c:smooth val="1"/>
        </c:ser>
        <c:dLbls>
          <c:showLegendKey val="0"/>
          <c:showVal val="0"/>
          <c:showCatName val="0"/>
          <c:showSerName val="0"/>
          <c:showPercent val="0"/>
          <c:showBubbleSize val="0"/>
        </c:dLbls>
        <c:axId val="101160832"/>
        <c:axId val="101175680"/>
      </c:scatterChart>
      <c:valAx>
        <c:axId val="101160832"/>
        <c:scaling>
          <c:orientation val="minMax"/>
        </c:scaling>
        <c:delete val="0"/>
        <c:axPos val="b"/>
        <c:title>
          <c:tx>
            <c:rich>
              <a:bodyPr/>
              <a:lstStyle/>
              <a:p>
                <a:pPr>
                  <a:defRPr sz="1200" b="1" i="0" u="none" strike="noStrike" baseline="0">
                    <a:solidFill>
                      <a:srgbClr val="000000"/>
                    </a:solidFill>
                    <a:latin typeface="Century Schoolbook"/>
                    <a:ea typeface="Century Schoolbook"/>
                    <a:cs typeface="Century Schoolbook"/>
                  </a:defRPr>
                </a:pPr>
                <a:r>
                  <a:rPr lang="en-US"/>
                  <a:t>% Pump Flow</a:t>
                </a:r>
              </a:p>
            </c:rich>
          </c:tx>
          <c:layout>
            <c:manualLayout>
              <c:xMode val="edge"/>
              <c:yMode val="edge"/>
              <c:x val="0.4349920247107375"/>
              <c:y val="0.902739279776523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175680"/>
        <c:crosses val="autoZero"/>
        <c:crossBetween val="midCat"/>
      </c:valAx>
      <c:valAx>
        <c:axId val="10117568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Century Schoolbook"/>
                    <a:ea typeface="Century Schoolbook"/>
                    <a:cs typeface="Century Schoolbook"/>
                  </a:defRPr>
                </a:pPr>
                <a:r>
                  <a:rPr lang="en-US"/>
                  <a:t>Head (ft. H2O)</a:t>
                </a:r>
              </a:p>
            </c:rich>
          </c:tx>
          <c:layout>
            <c:manualLayout>
              <c:xMode val="edge"/>
              <c:yMode val="edge"/>
              <c:x val="2.2471917698393667E-2"/>
              <c:y val="0.3016229080689841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16083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600" b="0" i="0" u="none" strike="noStrike" baseline="0">
          <a:solidFill>
            <a:srgbClr val="000000"/>
          </a:solidFill>
          <a:latin typeface="Century Schoolbook"/>
          <a:ea typeface="Century Schoolbook"/>
          <a:cs typeface="Century Schoolbook"/>
        </a:defRPr>
      </a:pPr>
      <a:endParaRPr lang="en-US"/>
    </a:p>
  </c:txPr>
  <c:printSettings>
    <c:headerFooter alignWithMargins="0"/>
    <c:pageMargins b="1" l="0.75000000000001465" r="0.7500000000000146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Century Schoolbook"/>
                <a:ea typeface="Century Schoolbook"/>
                <a:cs typeface="Century Schoolbook"/>
              </a:defRPr>
            </a:pPr>
            <a:r>
              <a:rPr lang="en-US"/>
              <a:t>Pump Flow vs. </a:t>
            </a:r>
            <a:r>
              <a:rPr lang="en-US" u="sng"/>
              <a:t>Power</a:t>
            </a:r>
            <a:r>
              <a:rPr lang="en-US"/>
              <a:t> (VSD)</a:t>
            </a:r>
          </a:p>
        </c:rich>
      </c:tx>
      <c:layout>
        <c:manualLayout>
          <c:xMode val="edge"/>
          <c:yMode val="edge"/>
          <c:x val="0.35549157917760293"/>
          <c:y val="4.9487459900845764E-2"/>
        </c:manualLayout>
      </c:layout>
      <c:overlay val="0"/>
      <c:spPr>
        <a:noFill/>
        <a:ln w="25400">
          <a:noFill/>
        </a:ln>
      </c:spPr>
    </c:title>
    <c:autoTitleDeleted val="0"/>
    <c:plotArea>
      <c:layout>
        <c:manualLayout>
          <c:layoutTarget val="inner"/>
          <c:xMode val="edge"/>
          <c:yMode val="edge"/>
          <c:x val="0.17445214997344291"/>
          <c:y val="0.20064391967535003"/>
          <c:w val="0.77578747834244999"/>
          <c:h val="0.58066497388152227"/>
        </c:manualLayout>
      </c:layout>
      <c:scatterChart>
        <c:scatterStyle val="smoothMarker"/>
        <c:varyColors val="0"/>
        <c:ser>
          <c:idx val="0"/>
          <c:order val="0"/>
          <c:spPr>
            <a:ln w="12700">
              <a:solidFill>
                <a:srgbClr val="FF0000"/>
              </a:solidFill>
              <a:prstDash val="solid"/>
            </a:ln>
          </c:spPr>
          <c:marker>
            <c:symbol val="diamond"/>
            <c:size val="5"/>
            <c:spPr>
              <a:solidFill>
                <a:srgbClr val="000080"/>
              </a:solidFill>
              <a:ln>
                <a:solidFill>
                  <a:srgbClr val="000080"/>
                </a:solidFill>
                <a:prstDash val="solid"/>
              </a:ln>
            </c:spPr>
          </c:marker>
          <c:xVal>
            <c:numRef>
              <c:f>PLRatio!$A$386:$A$396</c:f>
              <c:numCache>
                <c:formatCode>0%</c:formatCode>
                <c:ptCount val="11"/>
                <c:pt idx="0">
                  <c:v>0.3</c:v>
                </c:pt>
                <c:pt idx="1">
                  <c:v>0.37</c:v>
                </c:pt>
                <c:pt idx="2">
                  <c:v>0.44</c:v>
                </c:pt>
                <c:pt idx="3">
                  <c:v>0.51</c:v>
                </c:pt>
                <c:pt idx="4">
                  <c:v>0.57999999999999996</c:v>
                </c:pt>
                <c:pt idx="5">
                  <c:v>0.64999999999999991</c:v>
                </c:pt>
                <c:pt idx="6">
                  <c:v>0.71999999999999986</c:v>
                </c:pt>
                <c:pt idx="7">
                  <c:v>0.78999999999999981</c:v>
                </c:pt>
                <c:pt idx="8">
                  <c:v>0.85999999999999976</c:v>
                </c:pt>
                <c:pt idx="9">
                  <c:v>0.92999999999999972</c:v>
                </c:pt>
                <c:pt idx="10">
                  <c:v>1</c:v>
                </c:pt>
              </c:numCache>
            </c:numRef>
          </c:xVal>
          <c:yVal>
            <c:numRef>
              <c:f>PLRatio!$G$386:$G$396</c:f>
              <c:numCache>
                <c:formatCode>0.0%</c:formatCode>
                <c:ptCount val="11"/>
                <c:pt idx="0">
                  <c:v>4.9698514124891638E-2</c:v>
                </c:pt>
                <c:pt idx="1">
                  <c:v>7.9884881216317177E-2</c:v>
                </c:pt>
                <c:pt idx="2">
                  <c:v>0.12032225850779793</c:v>
                </c:pt>
                <c:pt idx="3">
                  <c:v>0.17254600292165045</c:v>
                </c:pt>
                <c:pt idx="4">
                  <c:v>0.23809147138019135</c:v>
                </c:pt>
                <c:pt idx="5">
                  <c:v>0.31849402080573708</c:v>
                </c:pt>
                <c:pt idx="6">
                  <c:v>0.41528900812060421</c:v>
                </c:pt>
                <c:pt idx="7">
                  <c:v>0.53001179024710943</c:v>
                </c:pt>
                <c:pt idx="8">
                  <c:v>0.66419772410756917</c:v>
                </c:pt>
                <c:pt idx="9">
                  <c:v>0.81938216662430008</c:v>
                </c:pt>
                <c:pt idx="10">
                  <c:v>0.9971004747196196</c:v>
                </c:pt>
              </c:numCache>
            </c:numRef>
          </c:yVal>
          <c:smooth val="1"/>
        </c:ser>
        <c:ser>
          <c:idx val="1"/>
          <c:order val="1"/>
          <c:spPr>
            <a:ln w="12700">
              <a:solidFill>
                <a:srgbClr val="FF0000"/>
              </a:solidFill>
              <a:prstDash val="solid"/>
            </a:ln>
          </c:spPr>
          <c:xVal>
            <c:numRef>
              <c:f>PLRatio!$A$386:$A$396</c:f>
              <c:numCache>
                <c:formatCode>0%</c:formatCode>
                <c:ptCount val="11"/>
                <c:pt idx="0">
                  <c:v>0.3</c:v>
                </c:pt>
                <c:pt idx="1">
                  <c:v>0.37</c:v>
                </c:pt>
                <c:pt idx="2">
                  <c:v>0.44</c:v>
                </c:pt>
                <c:pt idx="3">
                  <c:v>0.51</c:v>
                </c:pt>
                <c:pt idx="4">
                  <c:v>0.57999999999999996</c:v>
                </c:pt>
                <c:pt idx="5">
                  <c:v>0.64999999999999991</c:v>
                </c:pt>
                <c:pt idx="6">
                  <c:v>0.71999999999999986</c:v>
                </c:pt>
                <c:pt idx="7">
                  <c:v>0.78999999999999981</c:v>
                </c:pt>
                <c:pt idx="8">
                  <c:v>0.85999999999999976</c:v>
                </c:pt>
                <c:pt idx="9">
                  <c:v>0.92999999999999972</c:v>
                </c:pt>
                <c:pt idx="10">
                  <c:v>1</c:v>
                </c:pt>
              </c:numCache>
            </c:numRef>
          </c:xVal>
          <c:yVal>
            <c:numRef>
              <c:f>PLRatio!$G$386:$G$396</c:f>
              <c:numCache>
                <c:formatCode>0.0%</c:formatCode>
                <c:ptCount val="11"/>
                <c:pt idx="0">
                  <c:v>4.9698514124891638E-2</c:v>
                </c:pt>
                <c:pt idx="1">
                  <c:v>7.9884881216317177E-2</c:v>
                </c:pt>
                <c:pt idx="2">
                  <c:v>0.12032225850779793</c:v>
                </c:pt>
                <c:pt idx="3">
                  <c:v>0.17254600292165045</c:v>
                </c:pt>
                <c:pt idx="4">
                  <c:v>0.23809147138019135</c:v>
                </c:pt>
                <c:pt idx="5">
                  <c:v>0.31849402080573708</c:v>
                </c:pt>
                <c:pt idx="6">
                  <c:v>0.41528900812060421</c:v>
                </c:pt>
                <c:pt idx="7">
                  <c:v>0.53001179024710943</c:v>
                </c:pt>
                <c:pt idx="8">
                  <c:v>0.66419772410756917</c:v>
                </c:pt>
                <c:pt idx="9">
                  <c:v>0.81938216662430008</c:v>
                </c:pt>
                <c:pt idx="10">
                  <c:v>0.9971004747196196</c:v>
                </c:pt>
              </c:numCache>
            </c:numRef>
          </c:yVal>
          <c:smooth val="1"/>
        </c:ser>
        <c:dLbls>
          <c:showLegendKey val="0"/>
          <c:showVal val="0"/>
          <c:showCatName val="0"/>
          <c:showSerName val="0"/>
          <c:showPercent val="0"/>
          <c:showBubbleSize val="0"/>
        </c:dLbls>
        <c:axId val="101221504"/>
        <c:axId val="101223424"/>
      </c:scatterChart>
      <c:valAx>
        <c:axId val="101221504"/>
        <c:scaling>
          <c:orientation val="minMax"/>
          <c:max val="1"/>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Century Schoolbook"/>
                    <a:ea typeface="Century Schoolbook"/>
                    <a:cs typeface="Century Schoolbook"/>
                  </a:defRPr>
                </a:pPr>
                <a:r>
                  <a:rPr lang="en-US"/>
                  <a:t>% Pump Flow</a:t>
                </a:r>
              </a:p>
            </c:rich>
          </c:tx>
          <c:layout>
            <c:manualLayout>
              <c:xMode val="edge"/>
              <c:yMode val="edge"/>
              <c:x val="0.46371230823869786"/>
              <c:y val="0.8816502306144193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223424"/>
        <c:crosses val="autoZero"/>
        <c:crossBetween val="midCat"/>
        <c:minorUnit val="4.0000000000000022E-2"/>
      </c:valAx>
      <c:valAx>
        <c:axId val="101223424"/>
        <c:scaling>
          <c:orientation val="minMax"/>
          <c:max val="1"/>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Century Schoolbook"/>
                    <a:ea typeface="Century Schoolbook"/>
                    <a:cs typeface="Century Schoolbook"/>
                  </a:defRPr>
                </a:pPr>
                <a:r>
                  <a:rPr lang="en-US"/>
                  <a:t>% Power</a:t>
                </a:r>
              </a:p>
            </c:rich>
          </c:tx>
          <c:layout>
            <c:manualLayout>
              <c:xMode val="edge"/>
              <c:yMode val="edge"/>
              <c:x val="1.4003183677240393E-2"/>
              <c:y val="0.3984833970099869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22150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Century Schoolbook"/>
          <a:ea typeface="Century Schoolbook"/>
          <a:cs typeface="Century Schoolbook"/>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888888888889767E-2"/>
          <c:y val="3.2835820895522456E-2"/>
          <c:w val="0.86518518518518561"/>
          <c:h val="0.8626865671642"/>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PLRatio!$AU$369:$AU$377</c:f>
              <c:numCache>
                <c:formatCode>0%</c:formatCode>
                <c:ptCount val="9"/>
                <c:pt idx="0">
                  <c:v>0.2</c:v>
                </c:pt>
                <c:pt idx="1">
                  <c:v>0.30000000000000004</c:v>
                </c:pt>
                <c:pt idx="2">
                  <c:v>0.4</c:v>
                </c:pt>
                <c:pt idx="3">
                  <c:v>0.5</c:v>
                </c:pt>
                <c:pt idx="4">
                  <c:v>0.6</c:v>
                </c:pt>
                <c:pt idx="5">
                  <c:v>0.7</c:v>
                </c:pt>
                <c:pt idx="6">
                  <c:v>0.79999999999999993</c:v>
                </c:pt>
                <c:pt idx="7">
                  <c:v>0.89999999999999991</c:v>
                </c:pt>
                <c:pt idx="8">
                  <c:v>0.99999999999999989</c:v>
                </c:pt>
              </c:numCache>
            </c:numRef>
          </c:xVal>
          <c:yVal>
            <c:numRef>
              <c:f>PLRatio!$AX$369:$AX$377</c:f>
              <c:numCache>
                <c:formatCode>0.0000</c:formatCode>
                <c:ptCount val="9"/>
                <c:pt idx="0">
                  <c:v>0.7323473232011648</c:v>
                </c:pt>
                <c:pt idx="1">
                  <c:v>0.79456564603937285</c:v>
                </c:pt>
                <c:pt idx="2">
                  <c:v>0.84855724031257718</c:v>
                </c:pt>
                <c:pt idx="3">
                  <c:v>0.894322106020778</c:v>
                </c:pt>
                <c:pt idx="4">
                  <c:v>0.93186024316397498</c:v>
                </c:pt>
                <c:pt idx="5">
                  <c:v>0.96117165174216856</c:v>
                </c:pt>
                <c:pt idx="6">
                  <c:v>0.98225633175535854</c:v>
                </c:pt>
                <c:pt idx="7">
                  <c:v>0.99511428320354489</c:v>
                </c:pt>
                <c:pt idx="8">
                  <c:v>0.99974550608672763</c:v>
                </c:pt>
              </c:numCache>
            </c:numRef>
          </c:yVal>
          <c:smooth val="1"/>
        </c:ser>
        <c:dLbls>
          <c:showLegendKey val="0"/>
          <c:showVal val="0"/>
          <c:showCatName val="0"/>
          <c:showSerName val="0"/>
          <c:showPercent val="0"/>
          <c:showBubbleSize val="0"/>
        </c:dLbls>
        <c:axId val="101276288"/>
        <c:axId val="101282560"/>
      </c:scatterChart>
      <c:valAx>
        <c:axId val="101276288"/>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Century Schoolbook"/>
                <a:ea typeface="Century Schoolbook"/>
                <a:cs typeface="Century Schoolbook"/>
              </a:defRPr>
            </a:pPr>
            <a:endParaRPr lang="en-US"/>
          </a:p>
        </c:txPr>
        <c:crossAx val="101282560"/>
        <c:crosses val="autoZero"/>
        <c:crossBetween val="midCat"/>
      </c:valAx>
      <c:valAx>
        <c:axId val="101282560"/>
        <c:scaling>
          <c:orientation val="minMax"/>
          <c:min val="0.4"/>
        </c:scaling>
        <c:delete val="0"/>
        <c:axPos val="l"/>
        <c:majorGridlines>
          <c:spPr>
            <a:ln w="3175">
              <a:solidFill>
                <a:srgbClr val="000000"/>
              </a:solidFill>
              <a:prstDash val="solid"/>
            </a:ln>
          </c:spPr>
        </c:majorGridlines>
        <c:minorGridlines>
          <c:spPr>
            <a:ln w="3175">
              <a:solidFill>
                <a:srgbClr val="000000"/>
              </a:solidFill>
              <a:prstDash val="solid"/>
            </a:ln>
          </c:spPr>
        </c:minorGridlines>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Century Schoolbook"/>
                <a:ea typeface="Century Schoolbook"/>
                <a:cs typeface="Century Schoolbook"/>
              </a:defRPr>
            </a:pPr>
            <a:endParaRPr lang="en-US"/>
          </a:p>
        </c:txPr>
        <c:crossAx val="10127628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Century Schoolbook"/>
          <a:ea typeface="Century Schoolbook"/>
          <a:cs typeface="Century Schoolbook"/>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Century Schoolbook"/>
                <a:ea typeface="Century Schoolbook"/>
                <a:cs typeface="Century Schoolbook"/>
              </a:defRPr>
            </a:pPr>
            <a:r>
              <a:rPr lang="en-US"/>
              <a:t>Fan Flow vs. </a:t>
            </a:r>
            <a:r>
              <a:rPr lang="en-US" u="sng"/>
              <a:t>Power</a:t>
            </a:r>
            <a:r>
              <a:rPr lang="en-US"/>
              <a:t> (VSD)</a:t>
            </a:r>
          </a:p>
        </c:rich>
      </c:tx>
      <c:layout>
        <c:manualLayout>
          <c:xMode val="edge"/>
          <c:yMode val="edge"/>
          <c:x val="0.31613981446473677"/>
          <c:y val="3.5598712705081484E-2"/>
        </c:manualLayout>
      </c:layout>
      <c:overlay val="0"/>
      <c:spPr>
        <a:noFill/>
        <a:ln w="25400">
          <a:noFill/>
        </a:ln>
      </c:spPr>
    </c:title>
    <c:autoTitleDeleted val="0"/>
    <c:plotArea>
      <c:layout>
        <c:manualLayout>
          <c:layoutTarget val="inner"/>
          <c:xMode val="edge"/>
          <c:yMode val="edge"/>
          <c:x val="0.19761199467519891"/>
          <c:y val="0.19195046439628491"/>
          <c:w val="0.74678208315669314"/>
          <c:h val="0.58066497388152227"/>
        </c:manualLayout>
      </c:layout>
      <c:scatterChart>
        <c:scatterStyle val="smoothMarker"/>
        <c:varyColors val="0"/>
        <c:ser>
          <c:idx val="0"/>
          <c:order val="0"/>
          <c:spPr>
            <a:ln w="12700">
              <a:solidFill>
                <a:srgbClr val="FF0000"/>
              </a:solidFill>
              <a:prstDash val="solid"/>
            </a:ln>
          </c:spPr>
          <c:marker>
            <c:symbol val="diamond"/>
            <c:size val="5"/>
            <c:spPr>
              <a:solidFill>
                <a:srgbClr val="000080"/>
              </a:solidFill>
              <a:ln>
                <a:solidFill>
                  <a:srgbClr val="000080"/>
                </a:solidFill>
                <a:prstDash val="solid"/>
              </a:ln>
            </c:spPr>
          </c:marker>
          <c:xVal>
            <c:numRef>
              <c:f>PLRatio!$A$425:$A$435</c:f>
              <c:numCache>
                <c:formatCode>0%</c:formatCode>
                <c:ptCount val="1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numCache>
            </c:numRef>
          </c:xVal>
          <c:yVal>
            <c:numRef>
              <c:f>PLRatio!$G$425:$G$435</c:f>
              <c:numCache>
                <c:formatCode>0%</c:formatCode>
                <c:ptCount val="11"/>
                <c:pt idx="0">
                  <c:v>0</c:v>
                </c:pt>
                <c:pt idx="1">
                  <c:v>1.3375000000000014E-2</c:v>
                </c:pt>
                <c:pt idx="2">
                  <c:v>3.2000000000000028E-2</c:v>
                </c:pt>
                <c:pt idx="3">
                  <c:v>6.1125000000000068E-2</c:v>
                </c:pt>
                <c:pt idx="4">
                  <c:v>0.10600000000000009</c:v>
                </c:pt>
                <c:pt idx="5">
                  <c:v>0.17187500000000011</c:v>
                </c:pt>
                <c:pt idx="6">
                  <c:v>0.26400000000000018</c:v>
                </c:pt>
                <c:pt idx="7">
                  <c:v>0.38762500000000016</c:v>
                </c:pt>
                <c:pt idx="8">
                  <c:v>0.54800000000000015</c:v>
                </c:pt>
                <c:pt idx="9">
                  <c:v>0.75037500000000013</c:v>
                </c:pt>
                <c:pt idx="10">
                  <c:v>1</c:v>
                </c:pt>
              </c:numCache>
            </c:numRef>
          </c:yVal>
          <c:smooth val="1"/>
        </c:ser>
        <c:dLbls>
          <c:showLegendKey val="0"/>
          <c:showVal val="0"/>
          <c:showCatName val="0"/>
          <c:showSerName val="0"/>
          <c:showPercent val="0"/>
          <c:showBubbleSize val="0"/>
        </c:dLbls>
        <c:axId val="101293440"/>
        <c:axId val="101267328"/>
      </c:scatterChart>
      <c:valAx>
        <c:axId val="101293440"/>
        <c:scaling>
          <c:orientation val="minMax"/>
          <c:max val="1"/>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Century Schoolbook"/>
                    <a:ea typeface="Century Schoolbook"/>
                    <a:cs typeface="Century Schoolbook"/>
                  </a:defRPr>
                </a:pPr>
                <a:r>
                  <a:rPr lang="en-US"/>
                  <a:t>% Fan Flow</a:t>
                </a:r>
              </a:p>
            </c:rich>
          </c:tx>
          <c:layout>
            <c:manualLayout>
              <c:xMode val="edge"/>
              <c:yMode val="edge"/>
              <c:x val="0.4637123491087623"/>
              <c:y val="0.8816504827355946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267328"/>
        <c:crosses val="autoZero"/>
        <c:crossBetween val="midCat"/>
        <c:minorUnit val="4.0000000000000022E-2"/>
      </c:valAx>
      <c:valAx>
        <c:axId val="101267328"/>
        <c:scaling>
          <c:orientation val="minMax"/>
          <c:max val="1"/>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Century Schoolbook"/>
                    <a:ea typeface="Century Schoolbook"/>
                    <a:cs typeface="Century Schoolbook"/>
                  </a:defRPr>
                </a:pPr>
                <a:r>
                  <a:rPr lang="en-US"/>
                  <a:t>% Power</a:t>
                </a:r>
              </a:p>
            </c:rich>
          </c:tx>
          <c:layout>
            <c:manualLayout>
              <c:xMode val="edge"/>
              <c:yMode val="edge"/>
              <c:x val="2.6592803248236978E-2"/>
              <c:y val="0.3941366869777568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129344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Century Schoolbook"/>
          <a:ea typeface="Century Schoolbook"/>
          <a:cs typeface="Century Schoolbook"/>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entury Schoolbook"/>
                <a:ea typeface="Century Schoolbook"/>
                <a:cs typeface="Century Schoolbook"/>
              </a:defRPr>
            </a:pPr>
            <a:r>
              <a:rPr lang="en-US"/>
              <a:t>Fan Flow vs </a:t>
            </a:r>
            <a:r>
              <a:rPr lang="en-US" u="sng"/>
              <a:t>Pressure</a:t>
            </a:r>
            <a:r>
              <a:rPr lang="en-US"/>
              <a:t> (Var. Speed)</a:t>
            </a:r>
          </a:p>
        </c:rich>
      </c:tx>
      <c:layout>
        <c:manualLayout>
          <c:xMode val="edge"/>
          <c:yMode val="edge"/>
          <c:x val="0.27491965943281482"/>
          <c:y val="3.5369894552654602E-2"/>
        </c:manualLayout>
      </c:layout>
      <c:overlay val="0"/>
      <c:spPr>
        <a:noFill/>
        <a:ln w="25400">
          <a:noFill/>
        </a:ln>
      </c:spPr>
    </c:title>
    <c:autoTitleDeleted val="0"/>
    <c:plotArea>
      <c:layout>
        <c:manualLayout>
          <c:layoutTarget val="inner"/>
          <c:xMode val="edge"/>
          <c:yMode val="edge"/>
          <c:x val="0.18486325311658774"/>
          <c:y val="0.19076951738208742"/>
          <c:w val="0.76151169142469965"/>
          <c:h val="0.62461632304135051"/>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PLRatio!$A$425:$A$435</c:f>
              <c:numCache>
                <c:formatCode>0%</c:formatCode>
                <c:ptCount val="1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numCache>
            </c:numRef>
          </c:xVal>
          <c:yVal>
            <c:numRef>
              <c:f>PLRatio!$D$425:$D$435</c:f>
              <c:numCache>
                <c:formatCode>0.0</c:formatCode>
                <c:ptCount val="11"/>
                <c:pt idx="0">
                  <c:v>0.5</c:v>
                </c:pt>
                <c:pt idx="1">
                  <c:v>0.53500000000000003</c:v>
                </c:pt>
                <c:pt idx="2">
                  <c:v>0.64</c:v>
                </c:pt>
                <c:pt idx="3">
                  <c:v>0.81500000000000006</c:v>
                </c:pt>
                <c:pt idx="4">
                  <c:v>1.06</c:v>
                </c:pt>
                <c:pt idx="5">
                  <c:v>1.375</c:v>
                </c:pt>
                <c:pt idx="6">
                  <c:v>1.76</c:v>
                </c:pt>
                <c:pt idx="7">
                  <c:v>2.2149999999999999</c:v>
                </c:pt>
                <c:pt idx="8">
                  <c:v>2.7399999999999998</c:v>
                </c:pt>
                <c:pt idx="9">
                  <c:v>3.3349999999999995</c:v>
                </c:pt>
                <c:pt idx="10">
                  <c:v>4</c:v>
                </c:pt>
              </c:numCache>
            </c:numRef>
          </c:yVal>
          <c:smooth val="1"/>
        </c:ser>
        <c:dLbls>
          <c:showLegendKey val="0"/>
          <c:showVal val="0"/>
          <c:showCatName val="0"/>
          <c:showSerName val="0"/>
          <c:showPercent val="0"/>
          <c:showBubbleSize val="0"/>
        </c:dLbls>
        <c:axId val="108344832"/>
        <c:axId val="108347392"/>
      </c:scatterChart>
      <c:valAx>
        <c:axId val="108344832"/>
        <c:scaling>
          <c:orientation val="minMax"/>
          <c:max val="1"/>
        </c:scaling>
        <c:delete val="0"/>
        <c:axPos val="b"/>
        <c:title>
          <c:tx>
            <c:rich>
              <a:bodyPr/>
              <a:lstStyle/>
              <a:p>
                <a:pPr>
                  <a:defRPr sz="1200" b="1" i="0" u="none" strike="noStrike" baseline="0">
                    <a:solidFill>
                      <a:srgbClr val="000000"/>
                    </a:solidFill>
                    <a:latin typeface="Century Schoolbook"/>
                    <a:ea typeface="Century Schoolbook"/>
                    <a:cs typeface="Century Schoolbook"/>
                  </a:defRPr>
                </a:pPr>
                <a:r>
                  <a:rPr lang="en-US"/>
                  <a:t>% Fan Flow</a:t>
                </a:r>
              </a:p>
            </c:rich>
          </c:tx>
          <c:layout>
            <c:manualLayout>
              <c:xMode val="edge"/>
              <c:yMode val="edge"/>
              <c:x val="0.43499199795149412"/>
              <c:y val="0.9027394207303035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8347392"/>
        <c:crosses val="autoZero"/>
        <c:crossBetween val="midCat"/>
      </c:valAx>
      <c:valAx>
        <c:axId val="108347392"/>
        <c:scaling>
          <c:orientation val="minMax"/>
          <c:max val="4"/>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Century Schoolbook"/>
                    <a:ea typeface="Century Schoolbook"/>
                    <a:cs typeface="Century Schoolbook"/>
                  </a:defRPr>
                </a:pPr>
                <a:r>
                  <a:rPr lang="en-US"/>
                  <a:t>Presure (ft. H2O)</a:t>
                </a:r>
              </a:p>
            </c:rich>
          </c:tx>
          <c:layout>
            <c:manualLayout>
              <c:xMode val="edge"/>
              <c:yMode val="edge"/>
              <c:x val="2.2471886136184206E-2"/>
              <c:y val="0.3016228760878906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834483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600" b="0" i="0" u="none" strike="noStrike" baseline="0">
          <a:solidFill>
            <a:srgbClr val="000000"/>
          </a:solidFill>
          <a:latin typeface="Century Schoolbook"/>
          <a:ea typeface="Century Schoolbook"/>
          <a:cs typeface="Century Schoolbook"/>
        </a:defRPr>
      </a:pPr>
      <a:endParaRPr lang="en-US"/>
    </a:p>
  </c:txPr>
  <c:printSettings>
    <c:headerFooter alignWithMargins="0"/>
    <c:pageMargins b="1" l="0.75000000000001465" r="0.7500000000000146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Century Schoolbook"/>
                <a:ea typeface="Century Schoolbook"/>
                <a:cs typeface="Century Schoolbook"/>
              </a:defRPr>
            </a:pPr>
            <a:r>
              <a:rPr lang="en-US"/>
              <a:t>Part Load fraction vs. Power</a:t>
            </a:r>
          </a:p>
        </c:rich>
      </c:tx>
      <c:layout>
        <c:manualLayout>
          <c:xMode val="edge"/>
          <c:yMode val="edge"/>
          <c:x val="0.31613981446473677"/>
          <c:y val="3.5598859495081084E-2"/>
        </c:manualLayout>
      </c:layout>
      <c:overlay val="0"/>
      <c:spPr>
        <a:noFill/>
        <a:ln w="25400">
          <a:noFill/>
        </a:ln>
      </c:spPr>
    </c:title>
    <c:autoTitleDeleted val="0"/>
    <c:plotArea>
      <c:layout>
        <c:manualLayout>
          <c:layoutTarget val="inner"/>
          <c:xMode val="edge"/>
          <c:yMode val="edge"/>
          <c:x val="0.19761199467519891"/>
          <c:y val="0.19195046439628491"/>
          <c:w val="0.74678208315669314"/>
          <c:h val="0.58066497388152227"/>
        </c:manualLayout>
      </c:layout>
      <c:scatterChart>
        <c:scatterStyle val="smoothMarker"/>
        <c:varyColors val="0"/>
        <c:ser>
          <c:idx val="0"/>
          <c:order val="0"/>
          <c:spPr>
            <a:ln w="12700">
              <a:solidFill>
                <a:srgbClr val="FF0000"/>
              </a:solidFill>
              <a:prstDash val="solid"/>
            </a:ln>
          </c:spPr>
          <c:marker>
            <c:symbol val="diamond"/>
            <c:size val="5"/>
            <c:spPr>
              <a:solidFill>
                <a:srgbClr val="000080"/>
              </a:solidFill>
              <a:ln>
                <a:solidFill>
                  <a:srgbClr val="000080"/>
                </a:solidFill>
                <a:prstDash val="solid"/>
              </a:ln>
            </c:spPr>
          </c:marker>
          <c:xVal>
            <c:numRef>
              <c:f>PLRatio!$A$444:$A$451</c:f>
              <c:numCache>
                <c:formatCode>0%</c:formatCode>
                <c:ptCount val="8"/>
                <c:pt idx="0">
                  <c:v>0</c:v>
                </c:pt>
                <c:pt idx="1">
                  <c:v>0.25</c:v>
                </c:pt>
                <c:pt idx="2">
                  <c:v>0.5</c:v>
                </c:pt>
                <c:pt idx="3">
                  <c:v>0.6</c:v>
                </c:pt>
                <c:pt idx="4">
                  <c:v>0.7</c:v>
                </c:pt>
                <c:pt idx="5">
                  <c:v>0.79999999999999993</c:v>
                </c:pt>
                <c:pt idx="6">
                  <c:v>0.89999999999999991</c:v>
                </c:pt>
                <c:pt idx="7">
                  <c:v>0.99999999999999989</c:v>
                </c:pt>
              </c:numCache>
            </c:numRef>
          </c:xVal>
          <c:yVal>
            <c:numRef>
              <c:f>PLRatio!$F$444:$F$451</c:f>
              <c:numCache>
                <c:formatCode>0.0000</c:formatCode>
                <c:ptCount val="8"/>
                <c:pt idx="0">
                  <c:v>0</c:v>
                </c:pt>
                <c:pt idx="1">
                  <c:v>0.29088642584555668</c:v>
                </c:pt>
                <c:pt idx="2">
                  <c:v>0.46686568221159302</c:v>
                </c:pt>
                <c:pt idx="3">
                  <c:v>0.53483149629024485</c:v>
                </c:pt>
                <c:pt idx="4">
                  <c:v>0.61416028223867636</c:v>
                </c:pt>
                <c:pt idx="5">
                  <c:v>0.71335150262446001</c:v>
                </c:pt>
                <c:pt idx="6">
                  <c:v>0.84090462001516819</c:v>
                </c:pt>
                <c:pt idx="7">
                  <c:v>1.005319096978373</c:v>
                </c:pt>
              </c:numCache>
            </c:numRef>
          </c:yVal>
          <c:smooth val="1"/>
        </c:ser>
        <c:dLbls>
          <c:showLegendKey val="0"/>
          <c:showVal val="0"/>
          <c:showCatName val="0"/>
          <c:showSerName val="0"/>
          <c:showPercent val="0"/>
          <c:showBubbleSize val="0"/>
        </c:dLbls>
        <c:axId val="108363136"/>
        <c:axId val="113059712"/>
      </c:scatterChart>
      <c:valAx>
        <c:axId val="108363136"/>
        <c:scaling>
          <c:orientation val="minMax"/>
          <c:max val="1"/>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Century Schoolbook"/>
                    <a:ea typeface="Century Schoolbook"/>
                    <a:cs typeface="Century Schoolbook"/>
                  </a:defRPr>
                </a:pPr>
                <a:r>
                  <a:rPr lang="en-US"/>
                  <a:t>% Part Load</a:t>
                </a:r>
              </a:p>
            </c:rich>
          </c:tx>
          <c:layout>
            <c:manualLayout>
              <c:xMode val="edge"/>
              <c:yMode val="edge"/>
              <c:x val="0.4637123491087623"/>
              <c:y val="0.8816503332766858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13059712"/>
        <c:crosses val="autoZero"/>
        <c:crossBetween val="midCat"/>
        <c:minorUnit val="4.0000000000000022E-2"/>
      </c:valAx>
      <c:valAx>
        <c:axId val="113059712"/>
        <c:scaling>
          <c:orientation val="minMax"/>
          <c:max val="1"/>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Century Schoolbook"/>
                    <a:ea typeface="Century Schoolbook"/>
                    <a:cs typeface="Century Schoolbook"/>
                  </a:defRPr>
                </a:pPr>
                <a:r>
                  <a:rPr lang="en-US"/>
                  <a:t>% Power</a:t>
                </a:r>
              </a:p>
            </c:rich>
          </c:tx>
          <c:layout>
            <c:manualLayout>
              <c:xMode val="edge"/>
              <c:yMode val="edge"/>
              <c:x val="2.6592803248236978E-2"/>
              <c:y val="0.394136596234853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entury Schoolbook"/>
                <a:ea typeface="Century Schoolbook"/>
                <a:cs typeface="Century Schoolbook"/>
              </a:defRPr>
            </a:pPr>
            <a:endParaRPr lang="en-US"/>
          </a:p>
        </c:txPr>
        <c:crossAx val="10836313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Century Schoolbook"/>
          <a:ea typeface="Century Schoolbook"/>
          <a:cs typeface="Century Schoolbook"/>
        </a:defRPr>
      </a:pPr>
      <a:endParaRPr lang="en-US"/>
    </a:p>
  </c:txPr>
  <c:printSettings>
    <c:headerFooter alignWithMargins="0"/>
    <c:pageMargins b="1" l="0.75000000000001465" r="0.7500000000000146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400551072194766E-2"/>
          <c:y val="9.6419713552518965E-2"/>
          <c:w val="0.68951547031724758"/>
          <c:h val="0.769277740003948"/>
        </c:manualLayout>
      </c:layout>
      <c:lineChart>
        <c:grouping val="standard"/>
        <c:varyColors val="0"/>
        <c:ser>
          <c:idx val="2"/>
          <c:order val="0"/>
          <c:tx>
            <c:v>Catalog / Actual</c:v>
          </c:tx>
          <c:spPr>
            <a:ln w="50800">
              <a:prstDash val="sysDash"/>
            </a:ln>
          </c:spPr>
          <c:marker>
            <c:symbol val="none"/>
          </c:marker>
          <c:cat>
            <c:numRef>
              <c:f>PLRatio!$A$35:$A$40</c:f>
              <c:numCache>
                <c:formatCode>0.0</c:formatCode>
                <c:ptCount val="6"/>
                <c:pt idx="0">
                  <c:v>-18</c:v>
                </c:pt>
                <c:pt idx="1">
                  <c:v>-12.399999999999999</c:v>
                </c:pt>
                <c:pt idx="2">
                  <c:v>-6.799999999999998</c:v>
                </c:pt>
                <c:pt idx="3">
                  <c:v>-1.1999999999999975</c:v>
                </c:pt>
                <c:pt idx="4">
                  <c:v>4.400000000000003</c:v>
                </c:pt>
                <c:pt idx="5">
                  <c:v>10</c:v>
                </c:pt>
              </c:numCache>
            </c:numRef>
          </c:cat>
          <c:val>
            <c:numRef>
              <c:f>PLRatio!$D$35:$D$40</c:f>
              <c:numCache>
                <c:formatCode>0%</c:formatCode>
                <c:ptCount val="6"/>
                <c:pt idx="0">
                  <c:v>0.4</c:v>
                </c:pt>
                <c:pt idx="1">
                  <c:v>0.3</c:v>
                </c:pt>
                <c:pt idx="2">
                  <c:v>0.26</c:v>
                </c:pt>
                <c:pt idx="3">
                  <c:v>0.24</c:v>
                </c:pt>
                <c:pt idx="4">
                  <c:v>0.23</c:v>
                </c:pt>
                <c:pt idx="5">
                  <c:v>0.22</c:v>
                </c:pt>
              </c:numCache>
            </c:numRef>
          </c:val>
          <c:smooth val="0"/>
        </c:ser>
        <c:ser>
          <c:idx val="1"/>
          <c:order val="1"/>
          <c:tx>
            <c:v>Linear</c:v>
          </c:tx>
          <c:spPr>
            <a:ln w="50800"/>
          </c:spPr>
          <c:marker>
            <c:symbol val="none"/>
          </c:marker>
          <c:cat>
            <c:numRef>
              <c:f>PLRatio!$A$35:$A$40</c:f>
              <c:numCache>
                <c:formatCode>0.0</c:formatCode>
                <c:ptCount val="6"/>
                <c:pt idx="0">
                  <c:v>-18</c:v>
                </c:pt>
                <c:pt idx="1">
                  <c:v>-12.399999999999999</c:v>
                </c:pt>
                <c:pt idx="2">
                  <c:v>-6.799999999999998</c:v>
                </c:pt>
                <c:pt idx="3">
                  <c:v>-1.1999999999999975</c:v>
                </c:pt>
                <c:pt idx="4">
                  <c:v>4.400000000000003</c:v>
                </c:pt>
                <c:pt idx="5">
                  <c:v>10</c:v>
                </c:pt>
              </c:numCache>
            </c:numRef>
          </c:cat>
          <c:val>
            <c:numRef>
              <c:f>PLRatio!$E$35:$E$40</c:f>
              <c:numCache>
                <c:formatCode>0%</c:formatCode>
                <c:ptCount val="6"/>
                <c:pt idx="0">
                  <c:v>0.35570900000000005</c:v>
                </c:pt>
                <c:pt idx="1">
                  <c:v>0.32342500000000002</c:v>
                </c:pt>
                <c:pt idx="2">
                  <c:v>0.29114099999999998</c:v>
                </c:pt>
                <c:pt idx="3">
                  <c:v>0.258857</c:v>
                </c:pt>
                <c:pt idx="4">
                  <c:v>0.226573</c:v>
                </c:pt>
                <c:pt idx="5">
                  <c:v>0.19428900000000002</c:v>
                </c:pt>
              </c:numCache>
            </c:numRef>
          </c:val>
          <c:smooth val="0"/>
        </c:ser>
        <c:ser>
          <c:idx val="0"/>
          <c:order val="2"/>
          <c:tx>
            <c:v>Quadratic</c:v>
          </c:tx>
          <c:spPr>
            <a:ln w="50800"/>
          </c:spPr>
          <c:marker>
            <c:symbol val="none"/>
          </c:marker>
          <c:cat>
            <c:numRef>
              <c:f>PLRatio!$A$35:$A$40</c:f>
              <c:numCache>
                <c:formatCode>0.0</c:formatCode>
                <c:ptCount val="6"/>
                <c:pt idx="0">
                  <c:v>-18</c:v>
                </c:pt>
                <c:pt idx="1">
                  <c:v>-12.399999999999999</c:v>
                </c:pt>
                <c:pt idx="2">
                  <c:v>-6.799999999999998</c:v>
                </c:pt>
                <c:pt idx="3">
                  <c:v>-1.1999999999999975</c:v>
                </c:pt>
                <c:pt idx="4">
                  <c:v>4.400000000000003</c:v>
                </c:pt>
                <c:pt idx="5">
                  <c:v>10</c:v>
                </c:pt>
              </c:numCache>
            </c:numRef>
          </c:cat>
          <c:val>
            <c:numRef>
              <c:f>PLRatio!$F$35:$F$40</c:f>
              <c:numCache>
                <c:formatCode>0%</c:formatCode>
                <c:ptCount val="6"/>
                <c:pt idx="0">
                  <c:v>0.38978600000000002</c:v>
                </c:pt>
                <c:pt idx="1">
                  <c:v>0.31671159999999998</c:v>
                </c:pt>
                <c:pt idx="2">
                  <c:v>0.26402120000000001</c:v>
                </c:pt>
                <c:pt idx="3">
                  <c:v>0.2317148</c:v>
                </c:pt>
                <c:pt idx="4">
                  <c:v>0.21979240000000003</c:v>
                </c:pt>
                <c:pt idx="5">
                  <c:v>0.22825400000000001</c:v>
                </c:pt>
              </c:numCache>
            </c:numRef>
          </c:val>
          <c:smooth val="0"/>
        </c:ser>
        <c:ser>
          <c:idx val="3"/>
          <c:order val="3"/>
          <c:tx>
            <c:v>Cubic</c:v>
          </c:tx>
          <c:spPr>
            <a:ln w="50800"/>
          </c:spPr>
          <c:marker>
            <c:symbol val="none"/>
          </c:marker>
          <c:cat>
            <c:numRef>
              <c:f>PLRatio!$A$35:$A$40</c:f>
              <c:numCache>
                <c:formatCode>0.0</c:formatCode>
                <c:ptCount val="6"/>
                <c:pt idx="0">
                  <c:v>-18</c:v>
                </c:pt>
                <c:pt idx="1">
                  <c:v>-12.399999999999999</c:v>
                </c:pt>
                <c:pt idx="2">
                  <c:v>-6.799999999999998</c:v>
                </c:pt>
                <c:pt idx="3">
                  <c:v>-1.1999999999999975</c:v>
                </c:pt>
                <c:pt idx="4">
                  <c:v>4.400000000000003</c:v>
                </c:pt>
                <c:pt idx="5">
                  <c:v>10</c:v>
                </c:pt>
              </c:numCache>
            </c:numRef>
          </c:cat>
          <c:val>
            <c:numRef>
              <c:f>PLRatio!$G$35:$G$40</c:f>
              <c:numCache>
                <c:formatCode>0%</c:formatCode>
                <c:ptCount val="6"/>
                <c:pt idx="0">
                  <c:v>0.39887239212827985</c:v>
                </c:pt>
                <c:pt idx="1">
                  <c:v>0.30383784963394878</c:v>
                </c:pt>
                <c:pt idx="2">
                  <c:v>0.25667406523485581</c:v>
                </c:pt>
                <c:pt idx="3">
                  <c:v>0.23904770559766764</c:v>
                </c:pt>
                <c:pt idx="4">
                  <c:v>0.23262543738905087</c:v>
                </c:pt>
                <c:pt idx="5">
                  <c:v>0.21907392727567221</c:v>
                </c:pt>
              </c:numCache>
            </c:numRef>
          </c:val>
          <c:smooth val="0"/>
        </c:ser>
        <c:dLbls>
          <c:showLegendKey val="0"/>
          <c:showVal val="0"/>
          <c:showCatName val="0"/>
          <c:showSerName val="0"/>
          <c:showPercent val="0"/>
          <c:showBubbleSize val="0"/>
        </c:dLbls>
        <c:marker val="1"/>
        <c:smooth val="0"/>
        <c:axId val="113087232"/>
        <c:axId val="113088768"/>
      </c:lineChart>
      <c:catAx>
        <c:axId val="113087232"/>
        <c:scaling>
          <c:orientation val="minMax"/>
        </c:scaling>
        <c:delete val="0"/>
        <c:axPos val="b"/>
        <c:numFmt formatCode="0.0" sourceLinked="1"/>
        <c:majorTickMark val="out"/>
        <c:minorTickMark val="none"/>
        <c:tickLblPos val="nextTo"/>
        <c:txPr>
          <a:bodyPr/>
          <a:lstStyle/>
          <a:p>
            <a:pPr>
              <a:defRPr sz="1800" baseline="0"/>
            </a:pPr>
            <a:endParaRPr lang="en-US"/>
          </a:p>
        </c:txPr>
        <c:crossAx val="113088768"/>
        <c:crosses val="autoZero"/>
        <c:auto val="1"/>
        <c:lblAlgn val="ctr"/>
        <c:lblOffset val="100"/>
        <c:noMultiLvlLbl val="0"/>
      </c:catAx>
      <c:valAx>
        <c:axId val="113088768"/>
        <c:scaling>
          <c:orientation val="minMax"/>
        </c:scaling>
        <c:delete val="0"/>
        <c:axPos val="l"/>
        <c:majorGridlines/>
        <c:numFmt formatCode="0%" sourceLinked="1"/>
        <c:majorTickMark val="out"/>
        <c:minorTickMark val="none"/>
        <c:tickLblPos val="nextTo"/>
        <c:txPr>
          <a:bodyPr/>
          <a:lstStyle/>
          <a:p>
            <a:pPr>
              <a:defRPr sz="1800" b="1" i="0" baseline="0"/>
            </a:pPr>
            <a:endParaRPr lang="en-US"/>
          </a:p>
        </c:txPr>
        <c:crossAx val="113087232"/>
        <c:crosses val="autoZero"/>
        <c:crossBetween val="between"/>
      </c:valAx>
    </c:plotArea>
    <c:legend>
      <c:legendPos val="r"/>
      <c:layout>
        <c:manualLayout>
          <c:xMode val="edge"/>
          <c:yMode val="edge"/>
          <c:x val="0.81138597924222111"/>
          <c:y val="9.5520803632136581E-2"/>
          <c:w val="0.1701629100549979"/>
          <c:h val="0.24740008334612781"/>
        </c:manualLayout>
      </c:layout>
      <c:overlay val="0"/>
      <c:spPr>
        <a:solidFill>
          <a:schemeClr val="bg1"/>
        </a:solidFill>
      </c:spPr>
      <c:txPr>
        <a:bodyPr/>
        <a:lstStyle/>
        <a:p>
          <a:pPr>
            <a:defRPr sz="1800" baseline="0"/>
          </a:pPr>
          <a:endParaRPr lang="en-US"/>
        </a:p>
      </c:txPr>
    </c:legend>
    <c:plotVisOnly val="1"/>
    <c:dispBlanksAs val="gap"/>
    <c:showDLblsOverMax val="0"/>
  </c:chart>
  <c:spPr>
    <a:solidFill>
      <a:schemeClr val="accent1">
        <a:lumMod val="20000"/>
        <a:lumOff val="80000"/>
      </a:schemeClr>
    </a:solidFill>
  </c:spPr>
  <c:printSettings>
    <c:headerFooter/>
    <c:pageMargins b="0.75000000000000022" l="0.70000000000000018" r="0.70000000000000018" t="0.75000000000000022" header="0.3000000000000001" footer="0.300000000000000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PLRatio!$A$93</c:f>
          <c:strCache>
            <c:ptCount val="1"/>
            <c:pt idx="0">
              <c:v>HP EIR f(temp)</c:v>
            </c:pt>
          </c:strCache>
        </c:strRef>
      </c:tx>
      <c:overlay val="1"/>
    </c:title>
    <c:autoTitleDeleted val="0"/>
    <c:plotArea>
      <c:layout>
        <c:manualLayout>
          <c:layoutTarget val="inner"/>
          <c:xMode val="edge"/>
          <c:yMode val="edge"/>
          <c:x val="0.22759209167561786"/>
          <c:y val="9.6419713552518965E-2"/>
          <c:w val="0.59930785738323866"/>
          <c:h val="0.769277740003948"/>
        </c:manualLayout>
      </c:layout>
      <c:lineChart>
        <c:grouping val="standard"/>
        <c:varyColors val="0"/>
        <c:ser>
          <c:idx val="3"/>
          <c:order val="0"/>
          <c:tx>
            <c:v>InUse</c:v>
          </c:tx>
          <c:spPr>
            <a:ln w="50800"/>
          </c:spPr>
          <c:marker>
            <c:symbol val="none"/>
          </c:marker>
          <c:cat>
            <c:numRef>
              <c:f>PLRatio!$J$63:$J$68</c:f>
              <c:numCache>
                <c:formatCode>0</c:formatCode>
                <c:ptCount val="6"/>
                <c:pt idx="0">
                  <c:v>-20</c:v>
                </c:pt>
                <c:pt idx="1">
                  <c:v>-12</c:v>
                </c:pt>
                <c:pt idx="2">
                  <c:v>-4</c:v>
                </c:pt>
                <c:pt idx="3">
                  <c:v>4</c:v>
                </c:pt>
                <c:pt idx="4">
                  <c:v>12</c:v>
                </c:pt>
                <c:pt idx="5">
                  <c:v>20</c:v>
                </c:pt>
              </c:numCache>
            </c:numRef>
          </c:cat>
          <c:val>
            <c:numRef>
              <c:f>PLRatio!$N$63:$N$68</c:f>
              <c:numCache>
                <c:formatCode>0.0%</c:formatCode>
                <c:ptCount val="6"/>
                <c:pt idx="0">
                  <c:v>2.3949600000000002</c:v>
                </c:pt>
                <c:pt idx="1">
                  <c:v>1.7427091840000002</c:v>
                </c:pt>
                <c:pt idx="2">
                  <c:v>1.3307473919999999</c:v>
                </c:pt>
                <c:pt idx="3">
                  <c:v>1.0874110079999999</c:v>
                </c:pt>
                <c:pt idx="4">
                  <c:v>0.94103641599999999</c:v>
                </c:pt>
                <c:pt idx="5">
                  <c:v>0.81996000000000013</c:v>
                </c:pt>
              </c:numCache>
            </c:numRef>
          </c:val>
          <c:smooth val="0"/>
        </c:ser>
        <c:dLbls>
          <c:showLegendKey val="0"/>
          <c:showVal val="0"/>
          <c:showCatName val="0"/>
          <c:showSerName val="0"/>
          <c:showPercent val="0"/>
          <c:showBubbleSize val="0"/>
        </c:dLbls>
        <c:marker val="1"/>
        <c:smooth val="0"/>
        <c:axId val="113320320"/>
        <c:axId val="113322240"/>
      </c:lineChart>
      <c:lineChart>
        <c:grouping val="standard"/>
        <c:varyColors val="0"/>
        <c:ser>
          <c:idx val="0"/>
          <c:order val="1"/>
          <c:tx>
            <c:v>Yaxis2</c:v>
          </c:tx>
          <c:marker>
            <c:symbol val="none"/>
          </c:marker>
          <c:val>
            <c:numRef>
              <c:f>PLRatio!$M$63:$M$68</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13330432"/>
        <c:axId val="113328512"/>
      </c:lineChart>
      <c:catAx>
        <c:axId val="113320320"/>
        <c:scaling>
          <c:orientation val="minMax"/>
        </c:scaling>
        <c:delete val="0"/>
        <c:axPos val="b"/>
        <c:title>
          <c:tx>
            <c:strRef>
              <c:f>PLRatio!$A$94</c:f>
              <c:strCache>
                <c:ptCount val="1"/>
                <c:pt idx="0">
                  <c:v>Temp (X)</c:v>
                </c:pt>
              </c:strCache>
            </c:strRef>
          </c:tx>
          <c:overlay val="0"/>
          <c:txPr>
            <a:bodyPr/>
            <a:lstStyle/>
            <a:p>
              <a:pPr>
                <a:defRPr sz="1800"/>
              </a:pPr>
              <a:endParaRPr lang="en-US"/>
            </a:p>
          </c:txPr>
        </c:title>
        <c:numFmt formatCode="0" sourceLinked="1"/>
        <c:majorTickMark val="out"/>
        <c:minorTickMark val="none"/>
        <c:tickLblPos val="nextTo"/>
        <c:txPr>
          <a:bodyPr/>
          <a:lstStyle/>
          <a:p>
            <a:pPr>
              <a:defRPr sz="1800" baseline="0"/>
            </a:pPr>
            <a:endParaRPr lang="en-US"/>
          </a:p>
        </c:txPr>
        <c:crossAx val="113322240"/>
        <c:crosses val="autoZero"/>
        <c:auto val="1"/>
        <c:lblAlgn val="ctr"/>
        <c:lblOffset val="100"/>
        <c:noMultiLvlLbl val="0"/>
      </c:catAx>
      <c:valAx>
        <c:axId val="113322240"/>
        <c:scaling>
          <c:orientation val="minMax"/>
        </c:scaling>
        <c:delete val="0"/>
        <c:axPos val="l"/>
        <c:majorGridlines/>
        <c:title>
          <c:tx>
            <c:strRef>
              <c:f>PLRatio!$N$62</c:f>
              <c:strCache>
                <c:ptCount val="1"/>
                <c:pt idx="0">
                  <c:v>% Y</c:v>
                </c:pt>
              </c:strCache>
            </c:strRef>
          </c:tx>
          <c:layout>
            <c:manualLayout>
              <c:xMode val="edge"/>
              <c:yMode val="edge"/>
              <c:x val="2.3187776864308209E-2"/>
              <c:y val="0.4431450679616058"/>
            </c:manualLayout>
          </c:layout>
          <c:overlay val="0"/>
          <c:txPr>
            <a:bodyPr rot="-5400000" vert="horz"/>
            <a:lstStyle/>
            <a:p>
              <a:pPr>
                <a:defRPr sz="1600"/>
              </a:pPr>
              <a:endParaRPr lang="en-US"/>
            </a:p>
          </c:txPr>
        </c:title>
        <c:numFmt formatCode="#,##0.00" sourceLinked="0"/>
        <c:majorTickMark val="out"/>
        <c:minorTickMark val="none"/>
        <c:tickLblPos val="nextTo"/>
        <c:txPr>
          <a:bodyPr/>
          <a:lstStyle/>
          <a:p>
            <a:pPr>
              <a:defRPr sz="1800" b="1" i="0" baseline="0"/>
            </a:pPr>
            <a:endParaRPr lang="en-US"/>
          </a:p>
        </c:txPr>
        <c:crossAx val="113320320"/>
        <c:crosses val="autoZero"/>
        <c:crossBetween val="between"/>
      </c:valAx>
      <c:valAx>
        <c:axId val="113328512"/>
        <c:scaling>
          <c:orientation val="minMax"/>
        </c:scaling>
        <c:delete val="0"/>
        <c:axPos val="r"/>
        <c:title>
          <c:tx>
            <c:strRef>
              <c:f>PLRatio!$M$62</c:f>
              <c:strCache>
                <c:ptCount val="1"/>
                <c:pt idx="0">
                  <c:v>Capacity (Y)</c:v>
                </c:pt>
              </c:strCache>
            </c:strRef>
          </c:tx>
          <c:layout>
            <c:manualLayout>
              <c:xMode val="edge"/>
              <c:yMode val="edge"/>
              <c:x val="0.93366034861587355"/>
              <c:y val="0.34463790873403077"/>
            </c:manualLayout>
          </c:layout>
          <c:overlay val="0"/>
          <c:txPr>
            <a:bodyPr rot="-5400000" vert="horz"/>
            <a:lstStyle/>
            <a:p>
              <a:pPr>
                <a:defRPr sz="1800"/>
              </a:pPr>
              <a:endParaRPr lang="en-US"/>
            </a:p>
          </c:txPr>
        </c:title>
        <c:numFmt formatCode="#,##0.00" sourceLinked="0"/>
        <c:majorTickMark val="out"/>
        <c:minorTickMark val="none"/>
        <c:tickLblPos val="nextTo"/>
        <c:txPr>
          <a:bodyPr/>
          <a:lstStyle/>
          <a:p>
            <a:pPr>
              <a:defRPr sz="1800" b="1" i="0" baseline="0"/>
            </a:pPr>
            <a:endParaRPr lang="en-US"/>
          </a:p>
        </c:txPr>
        <c:crossAx val="113330432"/>
        <c:crosses val="max"/>
        <c:crossBetween val="between"/>
      </c:valAx>
      <c:catAx>
        <c:axId val="113330432"/>
        <c:scaling>
          <c:orientation val="minMax"/>
        </c:scaling>
        <c:delete val="1"/>
        <c:axPos val="b"/>
        <c:majorTickMark val="out"/>
        <c:minorTickMark val="none"/>
        <c:tickLblPos val="none"/>
        <c:crossAx val="113328512"/>
        <c:crosses val="autoZero"/>
        <c:auto val="1"/>
        <c:lblAlgn val="ctr"/>
        <c:lblOffset val="100"/>
        <c:noMultiLvlLbl val="0"/>
      </c:catAx>
    </c:plotArea>
    <c:plotVisOnly val="1"/>
    <c:dispBlanksAs val="gap"/>
    <c:showDLblsOverMax val="0"/>
  </c:chart>
  <c:spPr>
    <a:solidFill>
      <a:schemeClr val="accent1">
        <a:lumMod val="20000"/>
        <a:lumOff val="80000"/>
      </a:schemeClr>
    </a:solidFill>
  </c:spPr>
  <c:printSettings>
    <c:headerFooter/>
    <c:pageMargins b="0.75000000000000022" l="0.70000000000000018" r="0.70000000000000018" t="0.75000000000000022" header="0.3000000000000001" footer="0.300000000000000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PLRatio!$O$220</c:f>
          <c:strCache>
            <c:ptCount val="1"/>
            <c:pt idx="0">
              <c:v>DX Clg Capacity - f(WBrm, Toa)</c:v>
            </c:pt>
          </c:strCache>
        </c:strRef>
      </c:tx>
      <c:layout>
        <c:manualLayout>
          <c:xMode val="edge"/>
          <c:yMode val="edge"/>
          <c:x val="0.34716308528114276"/>
          <c:y val="3.1287543276351491E-2"/>
        </c:manualLayout>
      </c:layout>
      <c:overlay val="1"/>
    </c:title>
    <c:autoTitleDeleted val="0"/>
    <c:plotArea>
      <c:layout>
        <c:manualLayout>
          <c:layoutTarget val="inner"/>
          <c:xMode val="edge"/>
          <c:yMode val="edge"/>
          <c:x val="0.12554793797991076"/>
          <c:y val="0.12271355069785952"/>
          <c:w val="0.65328901412099072"/>
          <c:h val="0.66332338421596193"/>
        </c:manualLayout>
      </c:layout>
      <c:scatterChart>
        <c:scatterStyle val="smoothMarker"/>
        <c:varyColors val="0"/>
        <c:ser>
          <c:idx val="0"/>
          <c:order val="0"/>
          <c:tx>
            <c:strRef>
              <c:f>PLRatio!$K$230</c:f>
              <c:strCache>
                <c:ptCount val="1"/>
                <c:pt idx="0">
                  <c:v>WBrm (X) = 15.6</c:v>
                </c:pt>
              </c:strCache>
            </c:strRef>
          </c:tx>
          <c:marker>
            <c:symbol val="none"/>
          </c:marker>
          <c:xVal>
            <c:numRef>
              <c:f>(PLRatio!$C$222,PLRatio!$C$225,PLRatio!$C$228,PLRatio!$C$231,PLRatio!$C$234)</c:f>
              <c:numCache>
                <c:formatCode>0.0</c:formatCode>
                <c:ptCount val="5"/>
                <c:pt idx="0">
                  <c:v>15.6</c:v>
                </c:pt>
                <c:pt idx="1">
                  <c:v>23.225000000000001</c:v>
                </c:pt>
                <c:pt idx="2">
                  <c:v>30.85</c:v>
                </c:pt>
                <c:pt idx="3">
                  <c:v>38.475000000000001</c:v>
                </c:pt>
                <c:pt idx="4">
                  <c:v>46.1</c:v>
                </c:pt>
              </c:numCache>
            </c:numRef>
          </c:xVal>
          <c:yVal>
            <c:numRef>
              <c:f>(PLRatio!$G$222,PLRatio!$G$225,PLRatio!$G$228,PLRatio!$G$231,PLRatio!$G$234)</c:f>
              <c:numCache>
                <c:formatCode>0%</c:formatCode>
                <c:ptCount val="5"/>
                <c:pt idx="0">
                  <c:v>0.99387917530864212</c:v>
                </c:pt>
                <c:pt idx="1">
                  <c:v>0.97049690000000011</c:v>
                </c:pt>
                <c:pt idx="2">
                  <c:v>0.93792290000000023</c:v>
                </c:pt>
                <c:pt idx="3">
                  <c:v>0.89604640000000002</c:v>
                </c:pt>
                <c:pt idx="4">
                  <c:v>0.84486740000000005</c:v>
                </c:pt>
              </c:numCache>
            </c:numRef>
          </c:yVal>
          <c:smooth val="1"/>
        </c:ser>
        <c:ser>
          <c:idx val="1"/>
          <c:order val="1"/>
          <c:tx>
            <c:strRef>
              <c:f>PLRatio!$K$231</c:f>
              <c:strCache>
                <c:ptCount val="1"/>
                <c:pt idx="0">
                  <c:v>WBrm (X) = 19.8</c:v>
                </c:pt>
              </c:strCache>
            </c:strRef>
          </c:tx>
          <c:marker>
            <c:symbol val="none"/>
          </c:marker>
          <c:xVal>
            <c:numRef>
              <c:f>(PLRatio!$C$222,PLRatio!$C$225,PLRatio!$C$228,PLRatio!$C$231,PLRatio!$C$234)</c:f>
              <c:numCache>
                <c:formatCode>0.0</c:formatCode>
                <c:ptCount val="5"/>
                <c:pt idx="0">
                  <c:v>15.6</c:v>
                </c:pt>
                <c:pt idx="1">
                  <c:v>23.225000000000001</c:v>
                </c:pt>
                <c:pt idx="2">
                  <c:v>30.85</c:v>
                </c:pt>
                <c:pt idx="3">
                  <c:v>38.475000000000001</c:v>
                </c:pt>
                <c:pt idx="4">
                  <c:v>46.1</c:v>
                </c:pt>
              </c:numCache>
            </c:numRef>
          </c:xVal>
          <c:yVal>
            <c:numRef>
              <c:f>(PLRatio!$G$223,PLRatio!$G$226,PLRatio!$G$229,PLRatio!$G$232,PLRatio!$G$235)</c:f>
              <c:numCache>
                <c:formatCode>0%</c:formatCode>
                <c:ptCount val="5"/>
                <c:pt idx="0">
                  <c:v>1.102347725308642</c:v>
                </c:pt>
                <c:pt idx="1">
                  <c:v>1.0723202624999999</c:v>
                </c:pt>
                <c:pt idx="2">
                  <c:v>1.033101075</c:v>
                </c:pt>
                <c:pt idx="3">
                  <c:v>0.98457938749999985</c:v>
                </c:pt>
                <c:pt idx="4">
                  <c:v>0.92675519999999989</c:v>
                </c:pt>
              </c:numCache>
            </c:numRef>
          </c:yVal>
          <c:smooth val="1"/>
        </c:ser>
        <c:ser>
          <c:idx val="2"/>
          <c:order val="2"/>
          <c:tx>
            <c:strRef>
              <c:f>PLRatio!$K$232</c:f>
              <c:strCache>
                <c:ptCount val="1"/>
                <c:pt idx="0">
                  <c:v>WBrm (X) = 23.9</c:v>
                </c:pt>
              </c:strCache>
            </c:strRef>
          </c:tx>
          <c:marker>
            <c:symbol val="none"/>
          </c:marker>
          <c:xVal>
            <c:numRef>
              <c:f>(PLRatio!$C$222,PLRatio!$C$225,PLRatio!$C$228,PLRatio!$C$231,PLRatio!$C$234)</c:f>
              <c:numCache>
                <c:formatCode>0.0</c:formatCode>
                <c:ptCount val="5"/>
                <c:pt idx="0">
                  <c:v>15.6</c:v>
                </c:pt>
                <c:pt idx="1">
                  <c:v>23.225000000000001</c:v>
                </c:pt>
                <c:pt idx="2">
                  <c:v>30.85</c:v>
                </c:pt>
                <c:pt idx="3">
                  <c:v>38.475000000000001</c:v>
                </c:pt>
                <c:pt idx="4">
                  <c:v>46.1</c:v>
                </c:pt>
              </c:numCache>
            </c:numRef>
          </c:xVal>
          <c:yVal>
            <c:numRef>
              <c:f>(PLRatio!$G$224,PLRatio!$G$227,PLRatio!$G$230,PLRatio!$G$233,PLRatio!$G$236)</c:f>
              <c:numCache>
                <c:formatCode>0%</c:formatCode>
                <c:ptCount val="5"/>
                <c:pt idx="0">
                  <c:v>1.1962386000000003</c:v>
                </c:pt>
                <c:pt idx="1">
                  <c:v>1.1596767250000002</c:v>
                </c:pt>
                <c:pt idx="2">
                  <c:v>1.1138123500000003</c:v>
                </c:pt>
                <c:pt idx="3">
                  <c:v>1.0586454750000001</c:v>
                </c:pt>
                <c:pt idx="4">
                  <c:v>1.0500200604938275</c:v>
                </c:pt>
              </c:numCache>
            </c:numRef>
          </c:yVal>
          <c:smooth val="1"/>
        </c:ser>
        <c:dLbls>
          <c:showLegendKey val="0"/>
          <c:showVal val="0"/>
          <c:showCatName val="0"/>
          <c:showSerName val="0"/>
          <c:showPercent val="0"/>
          <c:showBubbleSize val="0"/>
        </c:dLbls>
        <c:axId val="113119232"/>
        <c:axId val="113121152"/>
      </c:scatterChart>
      <c:valAx>
        <c:axId val="113119232"/>
        <c:scaling>
          <c:orientation val="minMax"/>
          <c:min val="10"/>
        </c:scaling>
        <c:delete val="0"/>
        <c:axPos val="b"/>
        <c:majorGridlines/>
        <c:title>
          <c:tx>
            <c:strRef>
              <c:f>PLRatio!$C$221</c:f>
              <c:strCache>
                <c:ptCount val="1"/>
                <c:pt idx="0">
                  <c:v>Toa (Y)</c:v>
                </c:pt>
              </c:strCache>
            </c:strRef>
          </c:tx>
          <c:layout>
            <c:manualLayout>
              <c:xMode val="edge"/>
              <c:yMode val="edge"/>
              <c:x val="0.3962056295022191"/>
              <c:y val="0.87966305655836374"/>
            </c:manualLayout>
          </c:layout>
          <c:overlay val="0"/>
          <c:txPr>
            <a:bodyPr/>
            <a:lstStyle/>
            <a:p>
              <a:pPr>
                <a:defRPr sz="1800"/>
              </a:pPr>
              <a:endParaRPr lang="en-US"/>
            </a:p>
          </c:txPr>
        </c:title>
        <c:numFmt formatCode="0.0" sourceLinked="1"/>
        <c:majorTickMark val="out"/>
        <c:minorTickMark val="none"/>
        <c:tickLblPos val="nextTo"/>
        <c:txPr>
          <a:bodyPr/>
          <a:lstStyle/>
          <a:p>
            <a:pPr>
              <a:defRPr sz="1800"/>
            </a:pPr>
            <a:endParaRPr lang="en-US"/>
          </a:p>
        </c:txPr>
        <c:crossAx val="113121152"/>
        <c:crosses val="autoZero"/>
        <c:crossBetween val="midCat"/>
      </c:valAx>
      <c:valAx>
        <c:axId val="113121152"/>
        <c:scaling>
          <c:orientation val="minMax"/>
        </c:scaling>
        <c:delete val="0"/>
        <c:axPos val="l"/>
        <c:majorGridlines>
          <c:spPr>
            <a:ln>
              <a:solidFill>
                <a:schemeClr val="accent1"/>
              </a:solidFill>
            </a:ln>
          </c:spPr>
        </c:majorGridlines>
        <c:title>
          <c:tx>
            <c:strRef>
              <c:f>PLRatio!$Q$221</c:f>
              <c:strCache>
                <c:ptCount val="1"/>
                <c:pt idx="0">
                  <c:v>% Capacity</c:v>
                </c:pt>
              </c:strCache>
            </c:strRef>
          </c:tx>
          <c:layout>
            <c:manualLayout>
              <c:xMode val="edge"/>
              <c:yMode val="edge"/>
              <c:x val="1.812431335202648E-2"/>
              <c:y val="0.33906231937614317"/>
            </c:manualLayout>
          </c:layout>
          <c:overlay val="0"/>
          <c:txPr>
            <a:bodyPr rot="-5400000" vert="horz"/>
            <a:lstStyle/>
            <a:p>
              <a:pPr>
                <a:defRPr sz="1800"/>
              </a:pPr>
              <a:endParaRPr lang="en-US"/>
            </a:p>
          </c:txPr>
        </c:title>
        <c:numFmt formatCode="0%" sourceLinked="1"/>
        <c:majorTickMark val="out"/>
        <c:minorTickMark val="none"/>
        <c:tickLblPos val="nextTo"/>
        <c:txPr>
          <a:bodyPr/>
          <a:lstStyle/>
          <a:p>
            <a:pPr>
              <a:defRPr sz="1800"/>
            </a:pPr>
            <a:endParaRPr lang="en-US"/>
          </a:p>
        </c:txPr>
        <c:crossAx val="113119232"/>
        <c:crosses val="autoZero"/>
        <c:crossBetween val="midCat"/>
      </c:valAx>
    </c:plotArea>
    <c:legend>
      <c:legendPos val="r"/>
      <c:layout>
        <c:manualLayout>
          <c:xMode val="edge"/>
          <c:yMode val="edge"/>
          <c:x val="0.79368441651037769"/>
          <c:y val="0.12842834933146233"/>
          <c:w val="0.19276673985196524"/>
          <c:h val="0.25157785336184713"/>
        </c:manualLayout>
      </c:layout>
      <c:overlay val="0"/>
      <c:spPr>
        <a:solidFill>
          <a:schemeClr val="bg1"/>
        </a:solidFill>
      </c:spPr>
      <c:txPr>
        <a:bodyPr/>
        <a:lstStyle/>
        <a:p>
          <a:pPr>
            <a:defRPr sz="1800"/>
          </a:pPr>
          <a:endParaRPr lang="en-US"/>
        </a:p>
      </c:txPr>
    </c:legend>
    <c:plotVisOnly val="1"/>
    <c:dispBlanksAs val="gap"/>
    <c:showDLblsOverMax val="0"/>
  </c:chart>
  <c:spPr>
    <a:solidFill>
      <a:schemeClr val="accent1">
        <a:lumMod val="20000"/>
        <a:lumOff val="80000"/>
      </a:schemeClr>
    </a:solidFill>
  </c:spPr>
  <c:printSettings>
    <c:headerFooter/>
    <c:pageMargins b="0.75000000000000022" l="0.70000000000000018" r="0.70000000000000018" t="0.75000000000000022" header="0.3000000000000001" footer="0.300000000000000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PLRatio!$O$292</c:f>
          <c:strCache>
            <c:ptCount val="1"/>
            <c:pt idx="0">
              <c:v>VRFoa ClgCap'yLo - f(WBrm, Toa)</c:v>
            </c:pt>
          </c:strCache>
        </c:strRef>
      </c:tx>
      <c:layout>
        <c:manualLayout>
          <c:xMode val="edge"/>
          <c:yMode val="edge"/>
          <c:x val="0.32989347768805144"/>
          <c:y val="3.3600350235460145E-2"/>
        </c:manualLayout>
      </c:layout>
      <c:overlay val="1"/>
    </c:title>
    <c:autoTitleDeleted val="0"/>
    <c:plotArea>
      <c:layout>
        <c:manualLayout>
          <c:layoutTarget val="inner"/>
          <c:xMode val="edge"/>
          <c:yMode val="edge"/>
          <c:x val="0.12554793797991076"/>
          <c:y val="0.12271355069785952"/>
          <c:w val="0.65673169824572675"/>
          <c:h val="0.66332338421596193"/>
        </c:manualLayout>
      </c:layout>
      <c:scatterChart>
        <c:scatterStyle val="smoothMarker"/>
        <c:varyColors val="0"/>
        <c:ser>
          <c:idx val="0"/>
          <c:order val="0"/>
          <c:tx>
            <c:strRef>
              <c:f>PLRatio!$K$302</c:f>
              <c:strCache>
                <c:ptCount val="1"/>
                <c:pt idx="0">
                  <c:v>Wbent (X) = 15</c:v>
                </c:pt>
              </c:strCache>
            </c:strRef>
          </c:tx>
          <c:marker>
            <c:symbol val="none"/>
          </c:marker>
          <c:xVal>
            <c:numRef>
              <c:f>(PLRatio!$C$294,PLRatio!$C$297,PLRatio!$C$300,PLRatio!$C$303,PLRatio!$C$306)</c:f>
              <c:numCache>
                <c:formatCode>0.0</c:formatCode>
                <c:ptCount val="5"/>
                <c:pt idx="0">
                  <c:v>-5</c:v>
                </c:pt>
                <c:pt idx="1">
                  <c:v>1.9500000000000002</c:v>
                </c:pt>
                <c:pt idx="2">
                  <c:v>8.9</c:v>
                </c:pt>
                <c:pt idx="3">
                  <c:v>15.850000000000001</c:v>
                </c:pt>
                <c:pt idx="4">
                  <c:v>22.8</c:v>
                </c:pt>
              </c:numCache>
            </c:numRef>
          </c:xVal>
          <c:yVal>
            <c:numRef>
              <c:f>(PLRatio!$G$294,PLRatio!$G$297,PLRatio!$G$300,PLRatio!$G$303,PLRatio!$G$306)</c:f>
              <c:numCache>
                <c:formatCode>0%</c:formatCode>
                <c:ptCount val="5"/>
                <c:pt idx="0">
                  <c:v>0.9698454345616544</c:v>
                </c:pt>
                <c:pt idx="1">
                  <c:v>0.9698432248412896</c:v>
                </c:pt>
                <c:pt idx="2">
                  <c:v>0.96984340304751848</c:v>
                </c:pt>
                <c:pt idx="3">
                  <c:v>0.96984431690468631</c:v>
                </c:pt>
                <c:pt idx="4">
                  <c:v>0.96984596641279353</c:v>
                </c:pt>
              </c:numCache>
            </c:numRef>
          </c:yVal>
          <c:smooth val="1"/>
        </c:ser>
        <c:ser>
          <c:idx val="1"/>
          <c:order val="1"/>
          <c:tx>
            <c:strRef>
              <c:f>PLRatio!$K$303</c:f>
              <c:strCache>
                <c:ptCount val="1"/>
                <c:pt idx="0">
                  <c:v>Wbent (X) = 19.4</c:v>
                </c:pt>
              </c:strCache>
            </c:strRef>
          </c:tx>
          <c:marker>
            <c:symbol val="none"/>
          </c:marker>
          <c:xVal>
            <c:numRef>
              <c:f>(PLRatio!$C$294,PLRatio!$C$297,PLRatio!$C$300,PLRatio!$C$303,PLRatio!$C$306)</c:f>
              <c:numCache>
                <c:formatCode>0.0</c:formatCode>
                <c:ptCount val="5"/>
                <c:pt idx="0">
                  <c:v>-5</c:v>
                </c:pt>
                <c:pt idx="1">
                  <c:v>1.9500000000000002</c:v>
                </c:pt>
                <c:pt idx="2">
                  <c:v>8.9</c:v>
                </c:pt>
                <c:pt idx="3">
                  <c:v>15.850000000000001</c:v>
                </c:pt>
                <c:pt idx="4">
                  <c:v>22.8</c:v>
                </c:pt>
              </c:numCache>
            </c:numRef>
          </c:xVal>
          <c:yVal>
            <c:numRef>
              <c:f>(PLRatio!$G$295,PLRatio!$G$298,PLRatio!$G$301,PLRatio!$G$304,PLRatio!$G$307)</c:f>
              <c:numCache>
                <c:formatCode>0%</c:formatCode>
                <c:ptCount val="5"/>
                <c:pt idx="0">
                  <c:v>1.1366914175912839</c:v>
                </c:pt>
                <c:pt idx="1">
                  <c:v>1.1366888525560304</c:v>
                </c:pt>
                <c:pt idx="2">
                  <c:v>1.1366886754473702</c:v>
                </c:pt>
                <c:pt idx="3">
                  <c:v>1.1366892339896495</c:v>
                </c:pt>
                <c:pt idx="4">
                  <c:v>1.1366905281828676</c:v>
                </c:pt>
              </c:numCache>
            </c:numRef>
          </c:yVal>
          <c:smooth val="1"/>
        </c:ser>
        <c:ser>
          <c:idx val="2"/>
          <c:order val="2"/>
          <c:tx>
            <c:strRef>
              <c:f>PLRatio!$K$304</c:f>
              <c:strCache>
                <c:ptCount val="1"/>
                <c:pt idx="0">
                  <c:v>Wbent (X) = 23.9</c:v>
                </c:pt>
              </c:strCache>
            </c:strRef>
          </c:tx>
          <c:marker>
            <c:symbol val="none"/>
          </c:marker>
          <c:xVal>
            <c:numRef>
              <c:f>(PLRatio!$C$294,PLRatio!$C$297,PLRatio!$C$300,PLRatio!$C$303,PLRatio!$C$306)</c:f>
              <c:numCache>
                <c:formatCode>0.0</c:formatCode>
                <c:ptCount val="5"/>
                <c:pt idx="0">
                  <c:v>-5</c:v>
                </c:pt>
                <c:pt idx="1">
                  <c:v>1.9500000000000002</c:v>
                </c:pt>
                <c:pt idx="2">
                  <c:v>8.9</c:v>
                </c:pt>
                <c:pt idx="3">
                  <c:v>15.850000000000001</c:v>
                </c:pt>
                <c:pt idx="4">
                  <c:v>22.8</c:v>
                </c:pt>
              </c:numCache>
            </c:numRef>
          </c:xVal>
          <c:yVal>
            <c:numRef>
              <c:f>(PLRatio!$G$296,PLRatio!$G$299,PLRatio!$G$302,PLRatio!$G$305,PLRatio!$G$308)</c:f>
              <c:numCache>
                <c:formatCode>0%</c:formatCode>
                <c:ptCount val="5"/>
                <c:pt idx="0">
                  <c:v>1.3265781187156298</c:v>
                </c:pt>
                <c:pt idx="1">
                  <c:v>1.3265768506411417</c:v>
                </c:pt>
                <c:pt idx="2">
                  <c:v>1.3265763182175925</c:v>
                </c:pt>
                <c:pt idx="3">
                  <c:v>1.3265765214449829</c:v>
                </c:pt>
                <c:pt idx="4">
                  <c:v>1.3265843696051656</c:v>
                </c:pt>
              </c:numCache>
            </c:numRef>
          </c:yVal>
          <c:smooth val="1"/>
        </c:ser>
        <c:dLbls>
          <c:showLegendKey val="0"/>
          <c:showVal val="0"/>
          <c:showCatName val="0"/>
          <c:showSerName val="0"/>
          <c:showPercent val="0"/>
          <c:showBubbleSize val="0"/>
        </c:dLbls>
        <c:axId val="113369088"/>
        <c:axId val="113371008"/>
      </c:scatterChart>
      <c:valAx>
        <c:axId val="113369088"/>
        <c:scaling>
          <c:orientation val="minMax"/>
        </c:scaling>
        <c:delete val="0"/>
        <c:axPos val="b"/>
        <c:majorGridlines/>
        <c:title>
          <c:tx>
            <c:strRef>
              <c:f>PLRatio!$P$293</c:f>
              <c:strCache>
                <c:ptCount val="1"/>
                <c:pt idx="0">
                  <c:v>Toa (Y)</c:v>
                </c:pt>
              </c:strCache>
            </c:strRef>
          </c:tx>
          <c:layout>
            <c:manualLayout>
              <c:xMode val="edge"/>
              <c:yMode val="edge"/>
              <c:x val="0.3962056295022191"/>
              <c:y val="0.87966305655836374"/>
            </c:manualLayout>
          </c:layout>
          <c:overlay val="0"/>
          <c:txPr>
            <a:bodyPr/>
            <a:lstStyle/>
            <a:p>
              <a:pPr>
                <a:defRPr sz="1800"/>
              </a:pPr>
              <a:endParaRPr lang="en-US"/>
            </a:p>
          </c:txPr>
        </c:title>
        <c:numFmt formatCode="0.0" sourceLinked="1"/>
        <c:majorTickMark val="out"/>
        <c:minorTickMark val="none"/>
        <c:tickLblPos val="nextTo"/>
        <c:txPr>
          <a:bodyPr/>
          <a:lstStyle/>
          <a:p>
            <a:pPr>
              <a:defRPr sz="1800"/>
            </a:pPr>
            <a:endParaRPr lang="en-US"/>
          </a:p>
        </c:txPr>
        <c:crossAx val="113371008"/>
        <c:crosses val="autoZero"/>
        <c:crossBetween val="midCat"/>
      </c:valAx>
      <c:valAx>
        <c:axId val="113371008"/>
        <c:scaling>
          <c:orientation val="minMax"/>
        </c:scaling>
        <c:delete val="0"/>
        <c:axPos val="l"/>
        <c:majorGridlines>
          <c:spPr>
            <a:ln>
              <a:solidFill>
                <a:schemeClr val="accent1"/>
              </a:solidFill>
            </a:ln>
          </c:spPr>
        </c:majorGridlines>
        <c:title>
          <c:tx>
            <c:strRef>
              <c:f>PLRatio!$Q$293</c:f>
              <c:strCache>
                <c:ptCount val="1"/>
                <c:pt idx="0">
                  <c:v>% Capacity</c:v>
                </c:pt>
              </c:strCache>
            </c:strRef>
          </c:tx>
          <c:layout>
            <c:manualLayout>
              <c:xMode val="edge"/>
              <c:yMode val="edge"/>
              <c:x val="1.812431335202648E-2"/>
              <c:y val="0.33906231937614317"/>
            </c:manualLayout>
          </c:layout>
          <c:overlay val="0"/>
          <c:txPr>
            <a:bodyPr rot="-5400000" vert="horz"/>
            <a:lstStyle/>
            <a:p>
              <a:pPr>
                <a:defRPr sz="1800"/>
              </a:pPr>
              <a:endParaRPr lang="en-US"/>
            </a:p>
          </c:txPr>
        </c:title>
        <c:numFmt formatCode="0%" sourceLinked="1"/>
        <c:majorTickMark val="out"/>
        <c:minorTickMark val="none"/>
        <c:tickLblPos val="nextTo"/>
        <c:txPr>
          <a:bodyPr/>
          <a:lstStyle/>
          <a:p>
            <a:pPr>
              <a:defRPr sz="1800"/>
            </a:pPr>
            <a:endParaRPr lang="en-US"/>
          </a:p>
        </c:txPr>
        <c:crossAx val="113369088"/>
        <c:crosses val="autoZero"/>
        <c:crossBetween val="midCat"/>
      </c:valAx>
    </c:plotArea>
    <c:legend>
      <c:legendPos val="r"/>
      <c:layout>
        <c:manualLayout>
          <c:xMode val="edge"/>
          <c:yMode val="edge"/>
          <c:x val="0.79368441651037769"/>
          <c:y val="0.12842834933146233"/>
          <c:w val="0.19382580179949366"/>
          <c:h val="0.2191985559343258"/>
        </c:manualLayout>
      </c:layout>
      <c:overlay val="0"/>
      <c:spPr>
        <a:solidFill>
          <a:schemeClr val="bg1"/>
        </a:solidFill>
      </c:spPr>
      <c:txPr>
        <a:bodyPr/>
        <a:lstStyle/>
        <a:p>
          <a:pPr>
            <a:defRPr sz="1800"/>
          </a:pPr>
          <a:endParaRPr lang="en-US"/>
        </a:p>
      </c:txPr>
    </c:legend>
    <c:plotVisOnly val="1"/>
    <c:dispBlanksAs val="gap"/>
    <c:showDLblsOverMax val="0"/>
  </c:chart>
  <c:spPr>
    <a:solidFill>
      <a:schemeClr val="accent1">
        <a:lumMod val="20000"/>
        <a:lumOff val="80000"/>
      </a:schemeClr>
    </a:solidFill>
  </c:spPr>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400050</xdr:colOff>
      <xdr:row>96</xdr:row>
      <xdr:rowOff>95250</xdr:rowOff>
    </xdr:to>
    <xdr:sp macro="" textlink="">
      <xdr:nvSpPr>
        <xdr:cNvPr id="4" name="TextBox 3"/>
        <xdr:cNvSpPr txBox="1"/>
      </xdr:nvSpPr>
      <xdr:spPr>
        <a:xfrm>
          <a:off x="0" y="0"/>
          <a:ext cx="8839200" cy="18383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solidFill>
                <a:schemeClr val="dk1"/>
              </a:solidFill>
              <a:effectLst/>
              <a:latin typeface="+mn-lt"/>
              <a:ea typeface="+mn-ea"/>
              <a:cs typeface="+mn-cs"/>
            </a:rPr>
            <a:t>This auxiliary tool generates HVAC performance curves in EnergyPlus curve object format.  For each set of performance data entered, Capacity and EIR performance curves are generated, and these curves are generated either as a function of temperature(s) or flow fraction.  The Capacity and EIR of Cooling DX Coils as a function of temperatures require only Biquadratic curve whereas Capacity and EIR of Heating DX Coils may use Biquadratic, Cubic and Quadratic curves. The selection of either of these curves is dependent on availability of performance data. The Capacity and EIR as a function of flow fraction allows either Cubic or Quadratic curve type. The curve types allowed are:</a:t>
          </a:r>
        </a:p>
        <a:p>
          <a:endParaRPr lang="en-US" sz="1100"/>
        </a:p>
        <a:p>
          <a:pPr eaLnBrk="1" fontAlgn="auto" latinLnBrk="0" hangingPunct="1"/>
          <a:r>
            <a:rPr lang="en-US" sz="1100">
              <a:solidFill>
                <a:schemeClr val="dk1"/>
              </a:solidFill>
              <a:effectLst/>
              <a:latin typeface="+mn-lt"/>
              <a:ea typeface="+mn-ea"/>
              <a:cs typeface="+mn-cs"/>
            </a:rPr>
            <a:t>    Cooling Capacity as a Function of Temperatures: Biquadratic Curve</a:t>
          </a:r>
          <a:endParaRPr lang="en-US">
            <a:effectLst/>
          </a:endParaRPr>
        </a:p>
        <a:p>
          <a:r>
            <a:rPr lang="en-US" sz="1100">
              <a:solidFill>
                <a:schemeClr val="dk1"/>
              </a:solidFill>
              <a:effectLst/>
              <a:latin typeface="+mn-lt"/>
              <a:ea typeface="+mn-ea"/>
              <a:cs typeface="+mn-cs"/>
            </a:rPr>
            <a:t>       cCapacity = a0 + a1*X + a2*X^2 + a3*Y + a4*Y^2 + a5*X*Y</a:t>
          </a:r>
          <a:endParaRPr lang="en-US">
            <a:effectLst/>
          </a:endParaRPr>
        </a:p>
        <a:p>
          <a:r>
            <a:rPr lang="en-US" sz="1100">
              <a:solidFill>
                <a:schemeClr val="dk1"/>
              </a:solidFill>
              <a:effectLst/>
              <a:latin typeface="+mn-lt"/>
              <a:ea typeface="+mn-ea"/>
              <a:cs typeface="+mn-cs"/>
            </a:rPr>
            <a:t>    Heating Capacity as a Function of Temperatures: Biquadratic curve</a:t>
          </a:r>
          <a:endParaRPr lang="en-US">
            <a:effectLst/>
          </a:endParaRPr>
        </a:p>
        <a:p>
          <a:r>
            <a:rPr lang="en-US" sz="1100">
              <a:solidFill>
                <a:schemeClr val="dk1"/>
              </a:solidFill>
              <a:effectLst/>
              <a:latin typeface="+mn-lt"/>
              <a:ea typeface="+mn-ea"/>
              <a:cs typeface="+mn-cs"/>
            </a:rPr>
            <a:t>       hCapacity = a0 + a1*X + a2*X^2 + a3*Y + a4*Y^2 + a5*X*Y</a:t>
          </a:r>
          <a:endParaRPr lang="en-US">
            <a:effectLst/>
          </a:endParaRPr>
        </a:p>
        <a:p>
          <a:pPr eaLnBrk="1" fontAlgn="auto" latinLnBrk="0" hangingPunct="1"/>
          <a:r>
            <a:rPr lang="en-US" sz="1100">
              <a:solidFill>
                <a:schemeClr val="dk1"/>
              </a:solidFill>
              <a:effectLst/>
              <a:latin typeface="+mn-lt"/>
              <a:ea typeface="+mn-ea"/>
              <a:cs typeface="+mn-cs"/>
            </a:rPr>
            <a:t>    Heating Capacity as a Function of Temperatures: Cubic Curve</a:t>
          </a:r>
          <a:endParaRPr lang="en-US">
            <a:effectLst/>
          </a:endParaRPr>
        </a:p>
        <a:p>
          <a:pPr eaLnBrk="1" fontAlgn="auto" latinLnBrk="0" hangingPunct="1"/>
          <a:r>
            <a:rPr lang="en-US" sz="1100">
              <a:solidFill>
                <a:schemeClr val="dk1"/>
              </a:solidFill>
              <a:effectLst/>
              <a:latin typeface="+mn-lt"/>
              <a:ea typeface="+mn-ea"/>
              <a:cs typeface="+mn-cs"/>
            </a:rPr>
            <a:t>       hCapacity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Biquadratic Curve</a:t>
          </a:r>
          <a:endParaRPr lang="en-US">
            <a:effectLst/>
          </a:endParaRPr>
        </a:p>
        <a:p>
          <a:r>
            <a:rPr lang="en-US" sz="1100">
              <a:solidFill>
                <a:schemeClr val="dk1"/>
              </a:solidFill>
              <a:effectLst/>
              <a:latin typeface="+mn-lt"/>
              <a:ea typeface="+mn-ea"/>
              <a:cs typeface="+mn-cs"/>
            </a:rPr>
            <a:t>       EIR = a0 + a1*X + a2*X^2 + a3*Y + a4*Y^2 + a5*X*Y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endParaRPr lang="en-US" sz="1100"/>
        </a:p>
        <a:p>
          <a:r>
            <a:rPr lang="en-US" sz="1100">
              <a:solidFill>
                <a:schemeClr val="dk1"/>
              </a:solidFill>
              <a:effectLst/>
              <a:latin typeface="+mn-lt"/>
              <a:ea typeface="+mn-ea"/>
              <a:cs typeface="+mn-cs"/>
            </a:rPr>
            <a:t>These performance curves as a function of temperatures are generated for a given set of input data at a given speed. The curves as a function of flow fraction are generated at the rated temperature conditions.  The rated test condition is the AHRI standard rated test condition.  The AHRI standard test condition may vary by the equipment type.   For multiple speeds or multiple stage DX Coils, different curve sets can be generated by entering a different set of data for each speed or stage at a time.  This tool can generate the following four curve types: (1) Capacity as a function of temperatures, (2) Capacity as a function of flow fraction, (3) EIR as a function of temperatures, and (4) EIR as a function of flow fraction.  The tool automatically populates the labels for each data inputs variable when users select the Coil Type, Independent Variables, Curve Type, and Units as shown on INPU tab. The labels shown in the</a:t>
          </a:r>
          <a:r>
            <a:rPr lang="en-US" sz="1100" baseline="0">
              <a:solidFill>
                <a:schemeClr val="dk1"/>
              </a:solidFill>
              <a:effectLst/>
              <a:latin typeface="+mn-lt"/>
              <a:ea typeface="+mn-ea"/>
              <a:cs typeface="+mn-cs"/>
            </a:rPr>
            <a:t> INPU tab a</a:t>
          </a:r>
          <a:r>
            <a:rPr lang="en-US" sz="1100">
              <a:solidFill>
                <a:schemeClr val="dk1"/>
              </a:solidFill>
              <a:effectLst/>
              <a:latin typeface="+mn-lt"/>
              <a:ea typeface="+mn-ea"/>
              <a:cs typeface="+mn-cs"/>
            </a:rPr>
            <a:t>re selected for DX Coil to generate capacity and EIR biquadratic curves as function of temperatures. The tool can be used for the DX coil types: Coil:Cooing:DX:SingleSpeed, Coil:Heating:DX:SingleSpeed, Coil:Cooing:DX:TwoSpeed (high and low speed) , CoilPerformance:DX:Cooling (each stage), and any HVAC equipment that use Biquadratic, Cubic or Quadratic curves. To add this flexibility generic input data labels can be populated by selecting "Other" for DX Coil Type input field, located in Cell B3 in the INPU tab.</a:t>
          </a:r>
        </a:p>
        <a:p>
          <a:endParaRPr lang="en-US" sz="1100"/>
        </a:p>
        <a:p>
          <a:r>
            <a:rPr lang="en-US" sz="1100" b="1"/>
            <a:t>INPUTS:</a:t>
          </a:r>
        </a:p>
        <a:p>
          <a:r>
            <a:rPr lang="en-US" sz="1100">
              <a:solidFill>
                <a:schemeClr val="dk1"/>
              </a:solidFill>
              <a:effectLst/>
              <a:latin typeface="+mn-lt"/>
              <a:ea typeface="+mn-ea"/>
              <a:cs typeface="+mn-cs"/>
            </a:rPr>
            <a:t>First step in curve generation is to select appropriate parameters from the dropdown menu.  These inputs define the DX Coil Type, Curve Type, Independent Variable and the Units type. The choices available for each input parameters are described as follows:</a:t>
          </a:r>
        </a:p>
        <a:p>
          <a:r>
            <a:rPr lang="en-US" sz="1100"/>
            <a:t> </a:t>
          </a:r>
        </a:p>
        <a:p>
          <a:r>
            <a:rPr lang="en-US" sz="1100"/>
            <a:t>   DX Coil Type:  the capacity and EIR curves are generated either for </a:t>
          </a:r>
          <a:r>
            <a:rPr lang="en-US" sz="1100" baseline="0">
              <a:solidFill>
                <a:schemeClr val="dk1"/>
              </a:solidFill>
              <a:effectLst/>
              <a:latin typeface="+mn-lt"/>
              <a:ea typeface="+mn-ea"/>
              <a:cs typeface="+mn-cs"/>
            </a:rPr>
            <a:t>cooling, </a:t>
          </a:r>
          <a:r>
            <a:rPr lang="en-US" sz="1100"/>
            <a:t>heating</a:t>
          </a:r>
          <a:r>
            <a:rPr lang="en-US" sz="1100" baseline="0"/>
            <a:t> DX coils or Other.  Other provides a generic data entry </a:t>
          </a:r>
        </a:p>
        <a:p>
          <a:r>
            <a:rPr lang="en-US" sz="1100" baseline="0"/>
            <a:t>   labels than can used for other than DX Coils (e.g. Chillers) which may use the Curve Types listed below. </a:t>
          </a:r>
        </a:p>
        <a:p>
          <a:r>
            <a:rPr lang="en-US" sz="1100"/>
            <a:t>           (1) Cooling</a:t>
          </a:r>
        </a:p>
        <a:p>
          <a:r>
            <a:rPr lang="en-US" sz="1100"/>
            <a:t>           (2) Heating</a:t>
          </a:r>
        </a:p>
        <a:p>
          <a:r>
            <a:rPr lang="en-US" sz="1100"/>
            <a:t>           (3) Other</a:t>
          </a:r>
        </a:p>
        <a:p>
          <a:pPr marL="0" marR="0" indent="0" defTabSz="914400" eaLnBrk="1" fontAlgn="auto" latinLnBrk="0" hangingPunct="1">
            <a:lnSpc>
              <a:spcPct val="100000"/>
            </a:lnSpc>
            <a:spcBef>
              <a:spcPts val="0"/>
            </a:spcBef>
            <a:spcAft>
              <a:spcPts val="0"/>
            </a:spcAft>
            <a:buClrTx/>
            <a:buSzTx/>
            <a:buFontTx/>
            <a:buNone/>
            <a:tabLst/>
            <a:defRPr/>
          </a:pPr>
          <a:r>
            <a:rPr lang="en-US" sz="1100"/>
            <a:t>   Independent Variables:  the </a:t>
          </a:r>
          <a:r>
            <a:rPr lang="en-US" sz="1100">
              <a:solidFill>
                <a:schemeClr val="dk1"/>
              </a:solidFill>
              <a:effectLst/>
              <a:latin typeface="+mn-lt"/>
              <a:ea typeface="+mn-ea"/>
              <a:cs typeface="+mn-cs"/>
            </a:rPr>
            <a:t>curves are generated as a function</a:t>
          </a:r>
          <a:r>
            <a:rPr lang="en-US" sz="1100" baseline="0">
              <a:solidFill>
                <a:schemeClr val="dk1"/>
              </a:solidFill>
              <a:effectLst/>
              <a:latin typeface="+mn-lt"/>
              <a:ea typeface="+mn-ea"/>
              <a:cs typeface="+mn-cs"/>
            </a:rPr>
            <a:t> of temperatures or flow (flow fraction)</a:t>
          </a:r>
          <a:endParaRPr lang="en-US">
            <a:effectLst/>
          </a:endParaRPr>
        </a:p>
        <a:p>
          <a:r>
            <a:rPr lang="en-US" sz="1100"/>
            <a:t>           (1) Temperature</a:t>
          </a:r>
        </a:p>
        <a:p>
          <a:r>
            <a:rPr lang="en-US" sz="1100"/>
            <a:t>           (2) Flow</a:t>
          </a:r>
        </a:p>
        <a:p>
          <a:pPr marL="0" marR="0" indent="0" defTabSz="914400" eaLnBrk="1" fontAlgn="auto" latinLnBrk="0" hangingPunct="1">
            <a:lnSpc>
              <a:spcPct val="100000"/>
            </a:lnSpc>
            <a:spcBef>
              <a:spcPts val="0"/>
            </a:spcBef>
            <a:spcAft>
              <a:spcPts val="0"/>
            </a:spcAft>
            <a:buClrTx/>
            <a:buSzTx/>
            <a:buFontTx/>
            <a:buNone/>
            <a:tabLst/>
            <a:defRPr/>
          </a:pPr>
          <a:r>
            <a:rPr lang="en-US" sz="1100"/>
            <a:t>   Curve Types:  for a given set of data only one of these three curve types can be selected</a:t>
          </a:r>
        </a:p>
        <a:p>
          <a:pPr marL="0" marR="0" indent="0" defTabSz="914400" eaLnBrk="1" fontAlgn="auto" latinLnBrk="0" hangingPunct="1">
            <a:lnSpc>
              <a:spcPct val="100000"/>
            </a:lnSpc>
            <a:spcBef>
              <a:spcPts val="0"/>
            </a:spcBef>
            <a:spcAft>
              <a:spcPts val="0"/>
            </a:spcAft>
            <a:buClrTx/>
            <a:buSzTx/>
            <a:buFontTx/>
            <a:buNone/>
            <a:tabLst/>
            <a:defRPr/>
          </a:pPr>
          <a:r>
            <a:rPr lang="en-US" sz="1100"/>
            <a:t>           (1) Biquadratic</a:t>
          </a:r>
        </a:p>
        <a:p>
          <a:r>
            <a:rPr lang="en-US" sz="1100"/>
            <a:t>           (2) Cubic</a:t>
          </a:r>
        </a:p>
        <a:p>
          <a:r>
            <a:rPr lang="en-US" sz="1100"/>
            <a:t>           (3) Quadratic  </a:t>
          </a:r>
        </a:p>
        <a:p>
          <a:r>
            <a:rPr lang="en-US" sz="1100"/>
            <a:t>   Units: the input data can be either IP or SI </a:t>
          </a:r>
        </a:p>
        <a:p>
          <a:r>
            <a:rPr lang="en-US" sz="1100"/>
            <a:t>           (1) IP</a:t>
          </a:r>
        </a:p>
        <a:p>
          <a:r>
            <a:rPr lang="en-US" sz="1100"/>
            <a:t>           (2) SI</a:t>
          </a:r>
        </a:p>
        <a:p>
          <a:endParaRPr lang="en-US" sz="1100"/>
        </a:p>
        <a:p>
          <a:r>
            <a:rPr lang="en-US" sz="1100">
              <a:solidFill>
                <a:schemeClr val="dk1"/>
              </a:solidFill>
              <a:effectLst/>
              <a:latin typeface="+mn-lt"/>
              <a:ea typeface="+mn-ea"/>
              <a:cs typeface="+mn-cs"/>
            </a:rPr>
            <a:t>Once these input parameters are specified the VBA code reads in the values and automatically populate labels for each of the independent and dependent variables applicable. The labels guide users to enter the data for each variable in the corresponding worksheet input range.   Two sets of input data are required for curve generation: Rated, and Performance Data.   </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Rated Data:</a:t>
          </a:r>
          <a:r>
            <a:rPr lang="en-US" sz="1100">
              <a:solidFill>
                <a:schemeClr val="dk1"/>
              </a:solidFill>
              <a:effectLst/>
              <a:latin typeface="+mn-lt"/>
              <a:ea typeface="+mn-ea"/>
              <a:cs typeface="+mn-cs"/>
            </a:rPr>
            <a:t> The rated data is used to normalize the performance data set. The rated test conditions depend on the equipment type.  For DX cooling coil the rated test temperatures are 67°F (19.4°C) indoor coil entering wet bulb, 80°F (26.7°C) indoor coil entering dry bulb and 95°F (35.0°C) outdoor coil entering dry bulb air temperatures per ANSI/AHRI Std. 210/240 (AHRI 2008).  If the rated test temperatures are different from the values populated by the tool, then the user may enter the applicable values manually.  The capacity should be gross and the power should be condenser fan power plus compressor power at the rated condition. The rated data can be one of the performance data points depending on the speed or stage. The rated data set is entered in the Cells range “B11:E11” of the INPUT tab.</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Performance Data:</a:t>
          </a:r>
          <a:r>
            <a:rPr lang="en-US" sz="1100">
              <a:solidFill>
                <a:schemeClr val="dk1"/>
              </a:solidFill>
              <a:effectLst/>
              <a:latin typeface="+mn-lt"/>
              <a:ea typeface="+mn-ea"/>
              <a:cs typeface="+mn-cs"/>
            </a:rPr>
            <a:t>  The performance data set entered depends on the type of independent variables selected.  To generate performance curves (e.g. DX Coils) as a function of temperatures require the capacity and power data at various combinations of indoor and outdoor coil entering air temperatures at a rated supply air flow rate. And performance curves (e.g. DX Coil) as function of flow fraction require  capacity and power data at various supply air flow rates and rated indoor and outdoor coil entering air (or water) temperatures. The performance data set may include the rated data as one of the data points. The performance data set is entered starting from row 15 and down for each of the variables as shown in the INPUT tab.</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total cooling and heating capacities must be the gross values, i.e., not corrected for the supply fan heating effect.  Also the input power has to exclude the supply air fan power, but includes other miscellaneous power inputs (e.g. control panel power).   If manufacturers provide the total power, then the supply fan power must be deducted from the former.  If the capacity and power data are normalized values, then enter 1.0 for rated gross capacity and power in the </a:t>
          </a:r>
          <a:r>
            <a:rPr lang="en-US" sz="1100" b="1" i="1">
              <a:solidFill>
                <a:schemeClr val="dk1"/>
              </a:solidFill>
              <a:effectLst/>
              <a:latin typeface="+mn-lt"/>
              <a:ea typeface="+mn-ea"/>
              <a:cs typeface="+mn-cs"/>
            </a:rPr>
            <a:t>Rated Data</a:t>
          </a:r>
          <a:r>
            <a:rPr lang="en-US" sz="1100">
              <a:solidFill>
                <a:schemeClr val="dk1"/>
              </a:solidFill>
              <a:effectLst/>
              <a:latin typeface="+mn-lt"/>
              <a:ea typeface="+mn-ea"/>
              <a:cs typeface="+mn-cs"/>
            </a:rPr>
            <a:t> input Cells range (B11:E11 in the INPUT tab). Two samples of performance and rated data set are included in the “</a:t>
          </a:r>
          <a:r>
            <a:rPr lang="en-US" sz="1100" b="1">
              <a:solidFill>
                <a:schemeClr val="dk1"/>
              </a:solidFill>
              <a:effectLst/>
              <a:latin typeface="+mn-lt"/>
              <a:ea typeface="+mn-ea"/>
              <a:cs typeface="+mn-cs"/>
            </a:rPr>
            <a:t>INSTRUCTION</a:t>
          </a:r>
          <a:r>
            <a:rPr lang="en-US" sz="1100">
              <a:solidFill>
                <a:schemeClr val="dk1"/>
              </a:solidFill>
              <a:effectLst/>
              <a:latin typeface="+mn-lt"/>
              <a:ea typeface="+mn-ea"/>
              <a:cs typeface="+mn-cs"/>
            </a:rPr>
            <a:t>” tab. </a:t>
          </a:r>
        </a:p>
        <a:p>
          <a:endParaRPr lang="en-US" sz="1100"/>
        </a:p>
        <a:p>
          <a:r>
            <a:rPr lang="en-US" sz="1100" b="1"/>
            <a:t>OUTPUTS:</a:t>
          </a:r>
        </a:p>
        <a:p>
          <a:r>
            <a:rPr lang="en-US" sz="1100">
              <a:solidFill>
                <a:schemeClr val="dk1"/>
              </a:solidFill>
              <a:effectLst/>
              <a:latin typeface="+mn-lt"/>
              <a:ea typeface="+mn-ea"/>
              <a:cs typeface="+mn-cs"/>
            </a:rPr>
            <a:t>The generated curves are post-processed to make sure that the curve value is 1.0 at the rated condition.  The post processing is applied only if the curve value at the rated condition deviates by a value less than or equal to 0.025 and the performance data set contains the rated</a:t>
          </a:r>
          <a:r>
            <a:rPr lang="en-US" sz="1100" baseline="0">
              <a:solidFill>
                <a:schemeClr val="dk1"/>
              </a:solidFill>
              <a:effectLst/>
              <a:latin typeface="+mn-lt"/>
              <a:ea typeface="+mn-ea"/>
              <a:cs typeface="+mn-cs"/>
            </a:rPr>
            <a:t> data set as one the data points</a:t>
          </a:r>
          <a:r>
            <a:rPr lang="en-US" sz="1100">
              <a:solidFill>
                <a:schemeClr val="dk1"/>
              </a:solidFill>
              <a:effectLst/>
              <a:latin typeface="+mn-lt"/>
              <a:ea typeface="+mn-ea"/>
              <a:cs typeface="+mn-cs"/>
            </a:rPr>
            <a:t>. The coefficients of these curves are displayed on the "OUTPUT" tab. Besides the curve coefficients, the goodness of curve fit indicator statistical parameters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also reported.  The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the ratio of the sum of the squared deviations of the curve fit values from the mean to the sum of the squared deviations of the original data from the mean.  R squared values closer to 1.0 are good.  The tool has an option to save the curve object into an output file by running another macro (SaveCurveObjToTextFile).  The option output files and the directory path are specified in the OUTPUT tab in cells C2 and C3, respectively. If the output file name and path are left blank, then default names, "EplusCurveObjects.IDF" and the local directory where the tool is located are used.  The local directory where the tool is located must not have write restriction.</a:t>
          </a:r>
        </a:p>
        <a:p>
          <a:endParaRPr lang="en-US" sz="1100"/>
        </a:p>
        <a:p>
          <a:r>
            <a:rPr lang="en-US" sz="1100" b="1">
              <a:solidFill>
                <a:schemeClr val="dk1"/>
              </a:solidFill>
              <a:effectLst/>
              <a:latin typeface="+mn-lt"/>
              <a:ea typeface="+mn-ea"/>
              <a:cs typeface="+mn-cs"/>
            </a:rPr>
            <a:t>ERROR MESSAGE: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Reports progress of the curve object generation calculation starting from reading input data to error massage output file "errorCurveObjects.txt".  This error message file provides information whether the tool run successfully or not.  Also points to the step where problem occurred.</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Notes: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been tested on Ubuntu 11 using Libre Office and Macintosh 2011 machines.  But the button for running the macro may not be imported properly on Ubuntu hence users may have to run the tool manually by selecting "</a:t>
          </a:r>
          <a:r>
            <a:rPr lang="en-US" sz="1100" b="1">
              <a:solidFill>
                <a:schemeClr val="dk1"/>
              </a:solidFill>
              <a:effectLst/>
              <a:latin typeface="+mn-lt"/>
              <a:ea typeface="+mn-ea"/>
              <a:cs typeface="+mn-cs"/>
            </a:rPr>
            <a:t>ManageCurveFit</a:t>
          </a:r>
          <a:r>
            <a:rPr lang="en-US" sz="1100">
              <a:solidFill>
                <a:schemeClr val="dk1"/>
              </a:solidFill>
              <a:effectLst/>
              <a:latin typeface="+mn-lt"/>
              <a:ea typeface="+mn-ea"/>
              <a:cs typeface="+mn-cs"/>
            </a:rPr>
            <a:t>" and “</a:t>
          </a:r>
          <a:r>
            <a:rPr lang="en-US" sz="1100" b="1">
              <a:solidFill>
                <a:schemeClr val="dk1"/>
              </a:solidFill>
              <a:effectLst/>
              <a:latin typeface="+mn-lt"/>
              <a:ea typeface="+mn-ea"/>
              <a:cs typeface="+mn-cs"/>
            </a:rPr>
            <a:t>SaveCurveObjToTextFile</a:t>
          </a:r>
          <a:r>
            <a:rPr lang="en-US" sz="1100">
              <a:solidFill>
                <a:schemeClr val="dk1"/>
              </a:solidFill>
              <a:effectLst/>
              <a:latin typeface="+mn-lt"/>
              <a:ea typeface="+mn-ea"/>
              <a:cs typeface="+mn-cs"/>
            </a:rPr>
            <a:t>” subroutine from the macro list.</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References: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2008. ANSI/AHRI Standard 210/240: 2008 Standard for Performance Rating of Unitary Air-Conditioning &amp; Air-Source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2007. ANSI/AHRI Standard 340/360: 2007 Standard for Performance Rating of Commercial and Industrial Unitary Air-Conditioning and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AHRI 2003. ANSI/AHRI Standard 550/590: 2003 Standard for Performance Rating Of Water -Chilling Packages Using The Vapor Compression Cycle. Arlington, VA: Air-Conditioning, Heating, and Refrigeration Institute.</a:t>
          </a:r>
        </a:p>
      </xdr:txBody>
    </xdr:sp>
    <xdr:clientData/>
  </xdr:twoCellAnchor>
  <xdr:twoCellAnchor editAs="oneCell">
    <xdr:from>
      <xdr:col>1</xdr:col>
      <xdr:colOff>0</xdr:colOff>
      <xdr:row>100</xdr:row>
      <xdr:rowOff>0</xdr:rowOff>
    </xdr:from>
    <xdr:to>
      <xdr:col>11</xdr:col>
      <xdr:colOff>1048872</xdr:colOff>
      <xdr:row>123</xdr:row>
      <xdr:rowOff>74236</xdr:rowOff>
    </xdr:to>
    <xdr:pic>
      <xdr:nvPicPr>
        <xdr:cNvPr id="5" name="Picture 4"/>
        <xdr:cNvPicPr>
          <a:picLocks noChangeAspect="1"/>
        </xdr:cNvPicPr>
      </xdr:nvPicPr>
      <xdr:blipFill>
        <a:blip xmlns:r="http://schemas.openxmlformats.org/officeDocument/2006/relationships" r:embed="rId1"/>
        <a:stretch>
          <a:fillRect/>
        </a:stretch>
      </xdr:blipFill>
      <xdr:spPr>
        <a:xfrm>
          <a:off x="609600" y="18907125"/>
          <a:ext cx="7897347" cy="4455736"/>
        </a:xfrm>
        <a:prstGeom prst="rect">
          <a:avLst/>
        </a:prstGeom>
      </xdr:spPr>
    </xdr:pic>
    <xdr:clientData/>
  </xdr:twoCellAnchor>
  <xdr:twoCellAnchor editAs="oneCell">
    <xdr:from>
      <xdr:col>1</xdr:col>
      <xdr:colOff>133350</xdr:colOff>
      <xdr:row>223</xdr:row>
      <xdr:rowOff>19050</xdr:rowOff>
    </xdr:from>
    <xdr:to>
      <xdr:col>11</xdr:col>
      <xdr:colOff>533400</xdr:colOff>
      <xdr:row>237</xdr:row>
      <xdr:rowOff>176869</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42281475"/>
          <a:ext cx="8963025" cy="2824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3</xdr:row>
          <xdr:rowOff>38100</xdr:rowOff>
        </xdr:from>
        <xdr:to>
          <xdr:col>4</xdr:col>
          <xdr:colOff>1409700</xdr:colOff>
          <xdr:row>5</xdr:row>
          <xdr:rowOff>123825</xdr:rowOff>
        </xdr:to>
        <xdr:sp macro="" textlink="">
          <xdr:nvSpPr>
            <xdr:cNvPr id="2068" name="Button 20" hidden="1">
              <a:extLst>
                <a:ext uri="{63B3BB69-23CF-44E3-9099-C40C66FF867C}">
                  <a14:compatExt spid="_x0000_s206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600" b="1" i="0" u="none" strike="noStrike" baseline="0">
                  <a:solidFill>
                    <a:srgbClr val="0000FF"/>
                  </a:solidFill>
                  <a:latin typeface="Calibri"/>
                  <a:cs typeface="Calibri"/>
                </a:rPr>
                <a:t>Press To Generate Curves</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0</xdr:rowOff>
        </xdr:from>
        <xdr:to>
          <xdr:col>6</xdr:col>
          <xdr:colOff>295275</xdr:colOff>
          <xdr:row>6</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Calibri"/>
                  <a:cs typeface="Calibri"/>
                </a:rPr>
                <a:t>Save Curve Objects to a File</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19</xdr:col>
      <xdr:colOff>676275</xdr:colOff>
      <xdr:row>395</xdr:row>
      <xdr:rowOff>0</xdr:rowOff>
    </xdr:from>
    <xdr:to>
      <xdr:col>20</xdr:col>
      <xdr:colOff>19050</xdr:colOff>
      <xdr:row>397</xdr:row>
      <xdr:rowOff>104775</xdr:rowOff>
    </xdr:to>
    <xdr:sp macro="" textlink="">
      <xdr:nvSpPr>
        <xdr:cNvPr id="2" name="AutoShape 2"/>
        <xdr:cNvSpPr>
          <a:spLocks/>
        </xdr:cNvSpPr>
      </xdr:nvSpPr>
      <xdr:spPr bwMode="auto">
        <a:xfrm>
          <a:off x="16983075" y="79400400"/>
          <a:ext cx="190500" cy="485775"/>
        </a:xfrm>
        <a:prstGeom prst="rightBrace">
          <a:avLst>
            <a:gd name="adj1" fmla="val 21491"/>
            <a:gd name="adj2" fmla="val 50000"/>
          </a:avLst>
        </a:prstGeom>
        <a:noFill/>
        <a:ln w="9525">
          <a:solidFill>
            <a:srgbClr val="000000"/>
          </a:solidFill>
          <a:round/>
          <a:headEnd/>
          <a:tailEnd/>
        </a:ln>
      </xdr:spPr>
    </xdr:sp>
    <xdr:clientData/>
  </xdr:twoCellAnchor>
  <xdr:twoCellAnchor>
    <xdr:from>
      <xdr:col>14</xdr:col>
      <xdr:colOff>169069</xdr:colOff>
      <xdr:row>399</xdr:row>
      <xdr:rowOff>0</xdr:rowOff>
    </xdr:from>
    <xdr:to>
      <xdr:col>26</xdr:col>
      <xdr:colOff>0</xdr:colOff>
      <xdr:row>415</xdr:row>
      <xdr:rowOff>140494</xdr:rowOff>
    </xdr:to>
    <xdr:grpSp>
      <xdr:nvGrpSpPr>
        <xdr:cNvPr id="3" name="Group 2"/>
        <xdr:cNvGrpSpPr/>
      </xdr:nvGrpSpPr>
      <xdr:grpSpPr>
        <a:xfrm>
          <a:off x="12361069" y="80257650"/>
          <a:ext cx="10308431" cy="3188494"/>
          <a:chOff x="14478000" y="6431756"/>
          <a:chExt cx="11070431" cy="2640807"/>
        </a:xfrm>
      </xdr:grpSpPr>
      <xdr:graphicFrame macro="">
        <xdr:nvGraphicFramePr>
          <xdr:cNvPr id="4" name="Chart 8"/>
          <xdr:cNvGraphicFramePr>
            <a:graphicFrameLocks/>
          </xdr:cNvGraphicFramePr>
        </xdr:nvGraphicFramePr>
        <xdr:xfrm>
          <a:off x="20062031" y="6438900"/>
          <a:ext cx="5486400" cy="2621756"/>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21"/>
          <xdr:cNvGraphicFramePr>
            <a:graphicFrameLocks/>
          </xdr:cNvGraphicFramePr>
        </xdr:nvGraphicFramePr>
        <xdr:xfrm>
          <a:off x="14478000" y="6431756"/>
          <a:ext cx="5486400" cy="2640807"/>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14</xdr:col>
      <xdr:colOff>169069</xdr:colOff>
      <xdr:row>383</xdr:row>
      <xdr:rowOff>0</xdr:rowOff>
    </xdr:from>
    <xdr:to>
      <xdr:col>26</xdr:col>
      <xdr:colOff>0</xdr:colOff>
      <xdr:row>398</xdr:row>
      <xdr:rowOff>64294</xdr:rowOff>
    </xdr:to>
    <xdr:grpSp>
      <xdr:nvGrpSpPr>
        <xdr:cNvPr id="6" name="Group 5"/>
        <xdr:cNvGrpSpPr/>
      </xdr:nvGrpSpPr>
      <xdr:grpSpPr>
        <a:xfrm>
          <a:off x="12361069" y="77209650"/>
          <a:ext cx="10308431" cy="2921794"/>
          <a:chOff x="14478000" y="3428999"/>
          <a:chExt cx="11070431" cy="2743201"/>
        </a:xfrm>
      </xdr:grpSpPr>
      <xdr:graphicFrame macro="">
        <xdr:nvGraphicFramePr>
          <xdr:cNvPr id="7" name="Chart 18"/>
          <xdr:cNvGraphicFramePr>
            <a:graphicFrameLocks/>
          </xdr:cNvGraphicFramePr>
        </xdr:nvGraphicFramePr>
        <xdr:xfrm>
          <a:off x="20062031" y="3428999"/>
          <a:ext cx="5486400" cy="27432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8" name="Chart 22"/>
          <xdr:cNvGraphicFramePr>
            <a:graphicFrameLocks/>
          </xdr:cNvGraphicFramePr>
        </xdr:nvGraphicFramePr>
        <xdr:xfrm>
          <a:off x="14478000" y="3429000"/>
          <a:ext cx="5486400" cy="27432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46</xdr:col>
      <xdr:colOff>38100</xdr:colOff>
      <xdr:row>382</xdr:row>
      <xdr:rowOff>66675</xdr:rowOff>
    </xdr:from>
    <xdr:to>
      <xdr:col>52</xdr:col>
      <xdr:colOff>409575</xdr:colOff>
      <xdr:row>398</xdr:row>
      <xdr:rowOff>133350</xdr:rowOff>
    </xdr:to>
    <xdr:graphicFrame macro="">
      <xdr:nvGraphicFramePr>
        <xdr:cNvPr id="9"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28575</xdr:colOff>
      <xdr:row>421</xdr:row>
      <xdr:rowOff>28574</xdr:rowOff>
    </xdr:from>
    <xdr:to>
      <xdr:col>15</xdr:col>
      <xdr:colOff>611981</xdr:colOff>
      <xdr:row>436</xdr:row>
      <xdr:rowOff>92867</xdr:rowOff>
    </xdr:to>
    <xdr:graphicFrame macro="">
      <xdr:nvGraphicFramePr>
        <xdr:cNvPr id="10"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9525</xdr:colOff>
      <xdr:row>421</xdr:row>
      <xdr:rowOff>9524</xdr:rowOff>
    </xdr:from>
    <xdr:to>
      <xdr:col>20</xdr:col>
      <xdr:colOff>271462</xdr:colOff>
      <xdr:row>436</xdr:row>
      <xdr:rowOff>73817</xdr:rowOff>
    </xdr:to>
    <xdr:graphicFrame macro="">
      <xdr:nvGraphicFramePr>
        <xdr:cNvPr id="11"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66674</xdr:colOff>
      <xdr:row>441</xdr:row>
      <xdr:rowOff>57150</xdr:rowOff>
    </xdr:from>
    <xdr:to>
      <xdr:col>15</xdr:col>
      <xdr:colOff>650080</xdr:colOff>
      <xdr:row>455</xdr:row>
      <xdr:rowOff>38100</xdr:rowOff>
    </xdr:to>
    <xdr:graphicFrame macro="">
      <xdr:nvGraphicFramePr>
        <xdr:cNvPr id="12"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xdr:row>
      <xdr:rowOff>59531</xdr:rowOff>
    </xdr:from>
    <xdr:to>
      <xdr:col>10</xdr:col>
      <xdr:colOff>1285874</xdr:colOff>
      <xdr:row>31</xdr:row>
      <xdr:rowOff>13811</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59530</xdr:colOff>
      <xdr:row>61</xdr:row>
      <xdr:rowOff>0</xdr:rowOff>
    </xdr:from>
    <xdr:to>
      <xdr:col>8</xdr:col>
      <xdr:colOff>35718</xdr:colOff>
      <xdr:row>89</xdr:row>
      <xdr:rowOff>174625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23811</xdr:colOff>
      <xdr:row>187</xdr:row>
      <xdr:rowOff>33337</xdr:rowOff>
    </xdr:from>
    <xdr:to>
      <xdr:col>11</xdr:col>
      <xdr:colOff>833437</xdr:colOff>
      <xdr:row>216</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23811</xdr:colOff>
      <xdr:row>259</xdr:row>
      <xdr:rowOff>33337</xdr:rowOff>
    </xdr:from>
    <xdr:to>
      <xdr:col>12</xdr:col>
      <xdr:colOff>0</xdr:colOff>
      <xdr:row>288</xdr:row>
      <xdr:rowOff>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PTmobile1/Dropbox/!Templates/NRG%20Models_Audits/PartLoadRatio%20Calcs.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PTmobile1/Dropbox/!Templates/NRG%20Models_Audits/EPlus%20Objects%20Template%20v7.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Ratio"/>
    </sheetNames>
    <sheetDataSet>
      <sheetData sheetId="0">
        <row r="35">
          <cell r="A35">
            <v>-18</v>
          </cell>
          <cell r="D35">
            <v>0.4</v>
          </cell>
          <cell r="E35">
            <v>0.35570900000000005</v>
          </cell>
          <cell r="F35">
            <v>0.38978600000000002</v>
          </cell>
          <cell r="G35">
            <v>0.39887239212827985</v>
          </cell>
        </row>
        <row r="36">
          <cell r="A36">
            <v>-12.399999999999999</v>
          </cell>
          <cell r="D36">
            <v>0.3</v>
          </cell>
          <cell r="E36">
            <v>0.32342500000000002</v>
          </cell>
          <cell r="F36">
            <v>0.31671159999999998</v>
          </cell>
          <cell r="G36">
            <v>0.30383784963394878</v>
          </cell>
        </row>
        <row r="37">
          <cell r="A37">
            <v>-6.799999999999998</v>
          </cell>
          <cell r="D37">
            <v>0.26</v>
          </cell>
          <cell r="E37">
            <v>0.29114099999999998</v>
          </cell>
          <cell r="F37">
            <v>0.26402120000000001</v>
          </cell>
          <cell r="G37">
            <v>0.25667406523485581</v>
          </cell>
        </row>
        <row r="38">
          <cell r="A38">
            <v>-1.1999999999999975</v>
          </cell>
          <cell r="D38">
            <v>0.24</v>
          </cell>
          <cell r="E38">
            <v>0.258857</v>
          </cell>
          <cell r="F38">
            <v>0.2317148</v>
          </cell>
          <cell r="G38">
            <v>0.23904770559766764</v>
          </cell>
        </row>
        <row r="39">
          <cell r="A39">
            <v>4.400000000000003</v>
          </cell>
          <cell r="D39">
            <v>0.23</v>
          </cell>
          <cell r="E39">
            <v>0.226573</v>
          </cell>
          <cell r="F39">
            <v>0.21979240000000003</v>
          </cell>
          <cell r="G39">
            <v>0.23262543738905087</v>
          </cell>
        </row>
        <row r="40">
          <cell r="A40">
            <v>10</v>
          </cell>
          <cell r="D40">
            <v>0.22</v>
          </cell>
          <cell r="E40">
            <v>0.19428900000000002</v>
          </cell>
          <cell r="F40">
            <v>0.22825400000000001</v>
          </cell>
          <cell r="G40">
            <v>0.21907392727567221</v>
          </cell>
        </row>
        <row r="62">
          <cell r="M62" t="str">
            <v>Capacity (Y)</v>
          </cell>
          <cell r="N62" t="str">
            <v>% Y</v>
          </cell>
        </row>
        <row r="63">
          <cell r="J63">
            <v>-20</v>
          </cell>
          <cell r="M63">
            <v>0</v>
          </cell>
          <cell r="N63">
            <v>2.3949600000000002</v>
          </cell>
        </row>
        <row r="64">
          <cell r="J64">
            <v>-12</v>
          </cell>
          <cell r="M64">
            <v>0</v>
          </cell>
          <cell r="N64">
            <v>1.7427091840000002</v>
          </cell>
        </row>
        <row r="65">
          <cell r="J65">
            <v>-4</v>
          </cell>
          <cell r="M65">
            <v>0</v>
          </cell>
          <cell r="N65">
            <v>1.3307473919999999</v>
          </cell>
        </row>
        <row r="66">
          <cell r="J66">
            <v>4</v>
          </cell>
          <cell r="M66">
            <v>0</v>
          </cell>
          <cell r="N66">
            <v>1.0874110079999999</v>
          </cell>
        </row>
        <row r="67">
          <cell r="J67">
            <v>12</v>
          </cell>
          <cell r="M67">
            <v>0</v>
          </cell>
          <cell r="N67">
            <v>0.94103641599999999</v>
          </cell>
        </row>
        <row r="68">
          <cell r="J68">
            <v>20</v>
          </cell>
          <cell r="M68">
            <v>0</v>
          </cell>
          <cell r="N68">
            <v>0.81996000000000013</v>
          </cell>
        </row>
        <row r="93">
          <cell r="A93" t="str">
            <v>HP EIR f(temp)</v>
          </cell>
        </row>
        <row r="94">
          <cell r="A94" t="str">
            <v>Temp (X)</v>
          </cell>
        </row>
        <row r="220">
          <cell r="O220" t="str">
            <v>DX Clg Capacity - f(WBrm, Toa)</v>
          </cell>
        </row>
        <row r="221">
          <cell r="C221" t="str">
            <v>Toa (Y)</v>
          </cell>
          <cell r="Q221" t="str">
            <v>% Capacity</v>
          </cell>
        </row>
        <row r="222">
          <cell r="C222">
            <v>15.6</v>
          </cell>
          <cell r="G222">
            <v>0.99387917530864212</v>
          </cell>
        </row>
        <row r="223">
          <cell r="G223">
            <v>1.102347725308642</v>
          </cell>
        </row>
        <row r="224">
          <cell r="G224">
            <v>1.1962386000000003</v>
          </cell>
        </row>
        <row r="225">
          <cell r="C225">
            <v>23.225000000000001</v>
          </cell>
          <cell r="G225">
            <v>0.97049690000000011</v>
          </cell>
        </row>
        <row r="226">
          <cell r="G226">
            <v>1.0723202624999999</v>
          </cell>
        </row>
        <row r="227">
          <cell r="G227">
            <v>1.1596767250000002</v>
          </cell>
        </row>
        <row r="228">
          <cell r="C228">
            <v>30.85</v>
          </cell>
          <cell r="G228">
            <v>0.93792290000000023</v>
          </cell>
        </row>
        <row r="229">
          <cell r="G229">
            <v>1.033101075</v>
          </cell>
        </row>
        <row r="230">
          <cell r="G230">
            <v>1.1138123500000003</v>
          </cell>
          <cell r="K230" t="str">
            <v>WBrm (X) = 15.6</v>
          </cell>
        </row>
        <row r="231">
          <cell r="C231">
            <v>38.475000000000001</v>
          </cell>
          <cell r="G231">
            <v>0.89604640000000002</v>
          </cell>
          <cell r="K231" t="str">
            <v>WBrm (X) = 19.8</v>
          </cell>
        </row>
        <row r="232">
          <cell r="G232">
            <v>0.98457938749999985</v>
          </cell>
          <cell r="K232" t="str">
            <v>WBrm (X) = 23.9</v>
          </cell>
        </row>
        <row r="233">
          <cell r="G233">
            <v>1.0586454750000001</v>
          </cell>
        </row>
        <row r="234">
          <cell r="C234">
            <v>46.1</v>
          </cell>
          <cell r="G234">
            <v>0.84486740000000005</v>
          </cell>
        </row>
        <row r="235">
          <cell r="G235">
            <v>0.92675519999999989</v>
          </cell>
        </row>
        <row r="236">
          <cell r="G236">
            <v>1.0500200604938275</v>
          </cell>
        </row>
        <row r="292">
          <cell r="O292" t="str">
            <v>VRFoa ClgCap'yLo - f(WBrm, Toa)</v>
          </cell>
        </row>
        <row r="293">
          <cell r="P293" t="str">
            <v>Toa (Y)</v>
          </cell>
          <cell r="Q293" t="str">
            <v>% Capacity</v>
          </cell>
        </row>
        <row r="294">
          <cell r="C294">
            <v>-5</v>
          </cell>
          <cell r="G294">
            <v>0.9698454345616544</v>
          </cell>
        </row>
        <row r="295">
          <cell r="G295">
            <v>1.1366914175912839</v>
          </cell>
        </row>
        <row r="296">
          <cell r="G296">
            <v>1.3265781187156298</v>
          </cell>
        </row>
        <row r="297">
          <cell r="C297">
            <v>1.9500000000000002</v>
          </cell>
          <cell r="G297">
            <v>0.9698432248412896</v>
          </cell>
        </row>
        <row r="298">
          <cell r="G298">
            <v>1.1366888525560304</v>
          </cell>
        </row>
        <row r="299">
          <cell r="G299">
            <v>1.3265768506411417</v>
          </cell>
        </row>
        <row r="300">
          <cell r="C300">
            <v>8.9</v>
          </cell>
          <cell r="G300">
            <v>0.96984340304751848</v>
          </cell>
        </row>
        <row r="301">
          <cell r="G301">
            <v>1.1366886754473702</v>
          </cell>
        </row>
        <row r="302">
          <cell r="G302">
            <v>1.3265763182175925</v>
          </cell>
          <cell r="K302" t="str">
            <v>Wbent (X) = 15</v>
          </cell>
        </row>
        <row r="303">
          <cell r="C303">
            <v>15.850000000000001</v>
          </cell>
          <cell r="G303">
            <v>0.96984431690468631</v>
          </cell>
          <cell r="K303" t="str">
            <v>Wbent (X) = 19.4</v>
          </cell>
        </row>
        <row r="304">
          <cell r="G304">
            <v>1.1366892339896495</v>
          </cell>
          <cell r="K304" t="str">
            <v>Wbent (X) = 23.9</v>
          </cell>
        </row>
        <row r="305">
          <cell r="G305">
            <v>1.3265765214449829</v>
          </cell>
        </row>
        <row r="306">
          <cell r="C306">
            <v>22.8</v>
          </cell>
          <cell r="G306">
            <v>0.96984596641279353</v>
          </cell>
        </row>
        <row r="307">
          <cell r="G307">
            <v>1.1366905281828676</v>
          </cell>
        </row>
        <row r="308">
          <cell r="G308">
            <v>1.3265843696051656</v>
          </cell>
        </row>
        <row r="369">
          <cell r="AU369">
            <v>0.2</v>
          </cell>
          <cell r="AX369">
            <v>0.7323473232011648</v>
          </cell>
        </row>
        <row r="370">
          <cell r="AU370">
            <v>0.30000000000000004</v>
          </cell>
          <cell r="AX370">
            <v>0.79456564603937285</v>
          </cell>
        </row>
        <row r="371">
          <cell r="AU371">
            <v>0.4</v>
          </cell>
          <cell r="AX371">
            <v>0.84855724031257718</v>
          </cell>
        </row>
        <row r="372">
          <cell r="AU372">
            <v>0.5</v>
          </cell>
          <cell r="AX372">
            <v>0.894322106020778</v>
          </cell>
        </row>
        <row r="373">
          <cell r="AU373">
            <v>0.6</v>
          </cell>
          <cell r="AX373">
            <v>0.93186024316397498</v>
          </cell>
        </row>
        <row r="374">
          <cell r="AU374">
            <v>0.7</v>
          </cell>
          <cell r="AX374">
            <v>0.96117165174216856</v>
          </cell>
        </row>
        <row r="375">
          <cell r="AU375">
            <v>0.79999999999999993</v>
          </cell>
          <cell r="AX375">
            <v>0.98225633175535854</v>
          </cell>
        </row>
        <row r="376">
          <cell r="AU376">
            <v>0.89999999999999991</v>
          </cell>
          <cell r="AX376">
            <v>0.99511428320354489</v>
          </cell>
        </row>
        <row r="377">
          <cell r="AU377">
            <v>0.99999999999999989</v>
          </cell>
          <cell r="AX377">
            <v>0.99974550608672763</v>
          </cell>
        </row>
        <row r="386">
          <cell r="A386">
            <v>0.3</v>
          </cell>
          <cell r="D386">
            <v>11.538461538461538</v>
          </cell>
          <cell r="G386">
            <v>4.9698514124891638E-2</v>
          </cell>
        </row>
        <row r="387">
          <cell r="A387">
            <v>0.37</v>
          </cell>
          <cell r="D387">
            <v>23.648846153846154</v>
          </cell>
          <cell r="G387">
            <v>7.9884881216317177E-2</v>
          </cell>
        </row>
        <row r="388">
          <cell r="A388">
            <v>0.44</v>
          </cell>
          <cell r="D388">
            <v>28.664615384615388</v>
          </cell>
          <cell r="G388">
            <v>0.12032225850779793</v>
          </cell>
        </row>
        <row r="389">
          <cell r="A389">
            <v>0.51</v>
          </cell>
          <cell r="D389">
            <v>34.54730769230769</v>
          </cell>
          <cell r="G389">
            <v>0.17254600292165045</v>
          </cell>
        </row>
        <row r="390">
          <cell r="A390">
            <v>0.57999999999999996</v>
          </cell>
          <cell r="D390">
            <v>41.296923076923079</v>
          </cell>
          <cell r="G390">
            <v>0.23809147138019135</v>
          </cell>
        </row>
        <row r="391">
          <cell r="A391">
            <v>0.64999999999999991</v>
          </cell>
          <cell r="D391">
            <v>48.913461538461533</v>
          </cell>
          <cell r="G391">
            <v>0.31849402080573708</v>
          </cell>
        </row>
        <row r="392">
          <cell r="A392">
            <v>0.71999999999999986</v>
          </cell>
          <cell r="D392">
            <v>57.396923076923059</v>
          </cell>
          <cell r="G392">
            <v>0.41528900812060421</v>
          </cell>
        </row>
        <row r="393">
          <cell r="A393">
            <v>0.78999999999999981</v>
          </cell>
          <cell r="D393">
            <v>66.747307692307658</v>
          </cell>
          <cell r="G393">
            <v>0.53001179024710943</v>
          </cell>
        </row>
        <row r="394">
          <cell r="A394">
            <v>0.85999999999999976</v>
          </cell>
          <cell r="D394">
            <v>76.964615384615342</v>
          </cell>
          <cell r="G394">
            <v>0.66419772410756917</v>
          </cell>
        </row>
        <row r="395">
          <cell r="A395">
            <v>0.92999999999999972</v>
          </cell>
          <cell r="D395">
            <v>88.0488461538461</v>
          </cell>
          <cell r="G395">
            <v>0.81938216662430008</v>
          </cell>
        </row>
        <row r="396">
          <cell r="A396">
            <v>1</v>
          </cell>
          <cell r="D396">
            <v>100</v>
          </cell>
          <cell r="G396">
            <v>0.9971004747196196</v>
          </cell>
        </row>
        <row r="404">
          <cell r="A404">
            <v>0</v>
          </cell>
          <cell r="C404">
            <v>75</v>
          </cell>
          <cell r="F404">
            <v>0</v>
          </cell>
        </row>
        <row r="405">
          <cell r="A405">
            <v>0.2</v>
          </cell>
          <cell r="C405">
            <v>73.2</v>
          </cell>
          <cell r="F405">
            <v>0.25460124223602482</v>
          </cell>
        </row>
        <row r="406">
          <cell r="A406">
            <v>0.4</v>
          </cell>
          <cell r="C406">
            <v>71.399999999999991</v>
          </cell>
          <cell r="F406">
            <v>0.48274285714285708</v>
          </cell>
        </row>
        <row r="407">
          <cell r="A407">
            <v>0.60000000000000009</v>
          </cell>
          <cell r="C407">
            <v>69</v>
          </cell>
          <cell r="F407">
            <v>0.68442484472049681</v>
          </cell>
        </row>
        <row r="408">
          <cell r="A408">
            <v>0.8</v>
          </cell>
          <cell r="C408">
            <v>65.400000000000006</v>
          </cell>
          <cell r="F408">
            <v>0.85964720496894409</v>
          </cell>
        </row>
        <row r="409">
          <cell r="A409">
            <v>1</v>
          </cell>
          <cell r="C409">
            <v>60</v>
          </cell>
          <cell r="F409">
            <v>1.0084099378881988</v>
          </cell>
        </row>
        <row r="425">
          <cell r="A425">
            <v>0</v>
          </cell>
          <cell r="D425">
            <v>0.5</v>
          </cell>
          <cell r="G425">
            <v>0</v>
          </cell>
        </row>
        <row r="426">
          <cell r="A426">
            <v>0.1</v>
          </cell>
          <cell r="D426">
            <v>0.53500000000000003</v>
          </cell>
          <cell r="G426">
            <v>1.3375000000000014E-2</v>
          </cell>
        </row>
        <row r="427">
          <cell r="A427">
            <v>0.2</v>
          </cell>
          <cell r="D427">
            <v>0.64</v>
          </cell>
          <cell r="G427">
            <v>3.2000000000000028E-2</v>
          </cell>
        </row>
        <row r="428">
          <cell r="A428">
            <v>0.30000000000000004</v>
          </cell>
          <cell r="D428">
            <v>0.81500000000000006</v>
          </cell>
          <cell r="G428">
            <v>6.1125000000000068E-2</v>
          </cell>
        </row>
        <row r="429">
          <cell r="A429">
            <v>0.4</v>
          </cell>
          <cell r="D429">
            <v>1.06</v>
          </cell>
          <cell r="G429">
            <v>0.10600000000000009</v>
          </cell>
        </row>
        <row r="430">
          <cell r="A430">
            <v>0.5</v>
          </cell>
          <cell r="D430">
            <v>1.375</v>
          </cell>
          <cell r="G430">
            <v>0.17187500000000011</v>
          </cell>
        </row>
        <row r="431">
          <cell r="A431">
            <v>0.6</v>
          </cell>
          <cell r="D431">
            <v>1.76</v>
          </cell>
          <cell r="G431">
            <v>0.26400000000000018</v>
          </cell>
        </row>
        <row r="432">
          <cell r="A432">
            <v>0.7</v>
          </cell>
          <cell r="D432">
            <v>2.2149999999999999</v>
          </cell>
          <cell r="G432">
            <v>0.38762500000000016</v>
          </cell>
        </row>
        <row r="433">
          <cell r="A433">
            <v>0.79999999999999993</v>
          </cell>
          <cell r="D433">
            <v>2.7399999999999998</v>
          </cell>
          <cell r="G433">
            <v>0.54800000000000015</v>
          </cell>
        </row>
        <row r="434">
          <cell r="A434">
            <v>0.89999999999999991</v>
          </cell>
          <cell r="D434">
            <v>3.3349999999999995</v>
          </cell>
          <cell r="G434">
            <v>0.75037500000000013</v>
          </cell>
        </row>
        <row r="435">
          <cell r="A435">
            <v>0.99999999999999989</v>
          </cell>
          <cell r="D435">
            <v>4</v>
          </cell>
          <cell r="G435">
            <v>1</v>
          </cell>
        </row>
        <row r="444">
          <cell r="A444">
            <v>0</v>
          </cell>
          <cell r="F444">
            <v>0</v>
          </cell>
        </row>
        <row r="445">
          <cell r="A445">
            <v>0.25</v>
          </cell>
          <cell r="F445">
            <v>0.29088642584555668</v>
          </cell>
        </row>
        <row r="446">
          <cell r="A446">
            <v>0.5</v>
          </cell>
          <cell r="F446">
            <v>0.46686568221159302</v>
          </cell>
        </row>
        <row r="447">
          <cell r="A447">
            <v>0.6</v>
          </cell>
          <cell r="F447">
            <v>0.53483149629024485</v>
          </cell>
        </row>
        <row r="448">
          <cell r="A448">
            <v>0.7</v>
          </cell>
          <cell r="F448">
            <v>0.61416028223867636</v>
          </cell>
        </row>
        <row r="449">
          <cell r="A449">
            <v>0.79999999999999993</v>
          </cell>
          <cell r="F449">
            <v>0.71335150262446001</v>
          </cell>
        </row>
        <row r="450">
          <cell r="A450">
            <v>0.89999999999999991</v>
          </cell>
          <cell r="F450">
            <v>0.84090462001516819</v>
          </cell>
        </row>
        <row r="451">
          <cell r="A451">
            <v>0.99999999999999989</v>
          </cell>
          <cell r="F451">
            <v>1.005319096978373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rrative"/>
      <sheetName val="Start"/>
      <sheetName val="SysDef"/>
      <sheetName val="DataSumm"/>
      <sheetName val="AirSys"/>
      <sheetName val="Plant"/>
      <sheetName val="ReportVars"/>
      <sheetName val="ObjSumm"/>
      <sheetName val="SchedulesMisc"/>
      <sheetName val="ScheduleInput"/>
      <sheetName val="Reference"/>
      <sheetName val="GraphData"/>
    </sheetNames>
    <sheetDataSet>
      <sheetData sheetId="0">
        <row r="3">
          <cell r="O3">
            <v>1</v>
          </cell>
          <cell r="P3">
            <v>293.08323563892145</v>
          </cell>
          <cell r="R3">
            <v>11.009</v>
          </cell>
          <cell r="T3">
            <v>11.009</v>
          </cell>
        </row>
        <row r="4">
          <cell r="O4">
            <v>7</v>
          </cell>
          <cell r="P4">
            <v>2051.5826494724502</v>
          </cell>
          <cell r="R4">
            <v>11.009</v>
          </cell>
          <cell r="T4">
            <v>10.583</v>
          </cell>
        </row>
        <row r="5">
          <cell r="O5">
            <v>9</v>
          </cell>
          <cell r="P5">
            <v>2637.7491207502931</v>
          </cell>
          <cell r="R5">
            <v>10.583</v>
          </cell>
          <cell r="T5">
            <v>9.9439999999999991</v>
          </cell>
        </row>
        <row r="6">
          <cell r="O6">
            <v>12</v>
          </cell>
          <cell r="P6">
            <v>3516.9988276670574</v>
          </cell>
          <cell r="R6">
            <v>9.9439999999999991</v>
          </cell>
          <cell r="T6">
            <v>9.3049999999999997</v>
          </cell>
        </row>
        <row r="7">
          <cell r="O7">
            <v>15</v>
          </cell>
          <cell r="P7">
            <v>4396.2485345838222</v>
          </cell>
          <cell r="R7">
            <v>9.3049999999999997</v>
          </cell>
          <cell r="T7">
            <v>9.3049999999999997</v>
          </cell>
        </row>
        <row r="8">
          <cell r="O8">
            <v>1</v>
          </cell>
          <cell r="P8">
            <v>293.08323563892145</v>
          </cell>
          <cell r="R8">
            <v>10.809000000000001</v>
          </cell>
          <cell r="S8">
            <v>10.297416</v>
          </cell>
          <cell r="T8">
            <v>10.809000000000001</v>
          </cell>
          <cell r="U8">
            <v>10.297416</v>
          </cell>
        </row>
        <row r="9">
          <cell r="O9">
            <v>7</v>
          </cell>
          <cell r="P9">
            <v>2051.5826494724502</v>
          </cell>
          <cell r="R9">
            <v>10.809000000000001</v>
          </cell>
          <cell r="S9">
            <v>10.297416</v>
          </cell>
          <cell r="T9">
            <v>10.383000000000001</v>
          </cell>
          <cell r="U9">
            <v>10.119992</v>
          </cell>
        </row>
        <row r="10">
          <cell r="O10">
            <v>9</v>
          </cell>
          <cell r="P10">
            <v>2637.7491207502931</v>
          </cell>
          <cell r="R10">
            <v>10.383000000000001</v>
          </cell>
          <cell r="S10">
            <v>10.119992</v>
          </cell>
          <cell r="T10">
            <v>9.7439999999999998</v>
          </cell>
          <cell r="U10">
            <v>9.8538560000000004</v>
          </cell>
        </row>
        <row r="11">
          <cell r="O11">
            <v>12</v>
          </cell>
          <cell r="P11">
            <v>3516.9988276670574</v>
          </cell>
          <cell r="R11">
            <v>9.7439999999999998</v>
          </cell>
          <cell r="S11">
            <v>9.8538560000000004</v>
          </cell>
          <cell r="T11">
            <v>9.1050000000000004</v>
          </cell>
          <cell r="U11">
            <v>9.5877199999999991</v>
          </cell>
        </row>
        <row r="12">
          <cell r="O12">
            <v>15</v>
          </cell>
          <cell r="P12">
            <v>4396.2485345838222</v>
          </cell>
          <cell r="R12">
            <v>9.1050000000000004</v>
          </cell>
          <cell r="S12">
            <v>9.5877199999999991</v>
          </cell>
          <cell r="T12">
            <v>9.1050000000000004</v>
          </cell>
          <cell r="U12">
            <v>9.5877199999999991</v>
          </cell>
        </row>
        <row r="13">
          <cell r="O13">
            <v>1</v>
          </cell>
          <cell r="P13">
            <v>293.08323563892145</v>
          </cell>
          <cell r="Q13">
            <v>13</v>
          </cell>
          <cell r="R13">
            <v>11.31</v>
          </cell>
          <cell r="T13">
            <v>11.31</v>
          </cell>
        </row>
        <row r="14">
          <cell r="O14">
            <v>65</v>
          </cell>
          <cell r="P14">
            <v>19050.410316529895</v>
          </cell>
          <cell r="Q14">
            <v>13</v>
          </cell>
          <cell r="R14">
            <v>11.31</v>
          </cell>
          <cell r="T14">
            <v>11</v>
          </cell>
        </row>
        <row r="15">
          <cell r="O15">
            <v>135</v>
          </cell>
          <cell r="P15">
            <v>39566.236811254399</v>
          </cell>
          <cell r="R15">
            <v>11</v>
          </cell>
          <cell r="T15">
            <v>10.8</v>
          </cell>
        </row>
        <row r="16">
          <cell r="O16">
            <v>240</v>
          </cell>
          <cell r="P16">
            <v>70339.976553341156</v>
          </cell>
          <cell r="R16">
            <v>10.8</v>
          </cell>
          <cell r="T16">
            <v>9.8000000000000007</v>
          </cell>
        </row>
        <row r="17">
          <cell r="O17">
            <v>760</v>
          </cell>
          <cell r="P17">
            <v>222743.2590855803</v>
          </cell>
          <cell r="R17">
            <v>9.8000000000000007</v>
          </cell>
          <cell r="T17">
            <v>9.5</v>
          </cell>
          <cell r="V17">
            <v>9.5</v>
          </cell>
        </row>
        <row r="18">
          <cell r="O18">
            <v>2400</v>
          </cell>
          <cell r="P18">
            <v>703399.76553341153</v>
          </cell>
          <cell r="R18">
            <v>9.5</v>
          </cell>
          <cell r="T18">
            <v>9.5</v>
          </cell>
          <cell r="V18">
            <v>9.1999999999999993</v>
          </cell>
        </row>
        <row r="19">
          <cell r="O19">
            <v>1</v>
          </cell>
          <cell r="P19">
            <v>293.08323563892145</v>
          </cell>
          <cell r="R19">
            <v>13</v>
          </cell>
          <cell r="S19">
            <v>7.7</v>
          </cell>
          <cell r="T19">
            <v>13</v>
          </cell>
          <cell r="U19">
            <v>7.7</v>
          </cell>
        </row>
        <row r="20">
          <cell r="O20">
            <v>65</v>
          </cell>
          <cell r="P20">
            <v>19050.410316529895</v>
          </cell>
          <cell r="R20">
            <v>13</v>
          </cell>
          <cell r="S20">
            <v>7.7</v>
          </cell>
          <cell r="T20">
            <v>11</v>
          </cell>
          <cell r="U20">
            <v>11.259599999999999</v>
          </cell>
        </row>
        <row r="21">
          <cell r="O21">
            <v>135</v>
          </cell>
          <cell r="P21">
            <v>39566.236811254399</v>
          </cell>
          <cell r="R21">
            <v>11</v>
          </cell>
          <cell r="S21">
            <v>11.259599999999999</v>
          </cell>
          <cell r="T21">
            <v>11</v>
          </cell>
          <cell r="U21">
            <v>11.259599999999999</v>
          </cell>
        </row>
        <row r="22">
          <cell r="O22">
            <v>1</v>
          </cell>
          <cell r="P22">
            <v>293.08323563892145</v>
          </cell>
          <cell r="Q22">
            <v>13</v>
          </cell>
          <cell r="R22">
            <v>11.31</v>
          </cell>
          <cell r="T22">
            <v>11.31</v>
          </cell>
        </row>
        <row r="23">
          <cell r="O23">
            <v>65</v>
          </cell>
          <cell r="P23">
            <v>19050.410316529895</v>
          </cell>
          <cell r="Q23">
            <v>13</v>
          </cell>
          <cell r="R23">
            <v>11.31</v>
          </cell>
          <cell r="T23">
            <v>11</v>
          </cell>
        </row>
        <row r="24">
          <cell r="O24">
            <v>135</v>
          </cell>
          <cell r="P24">
            <v>39566.236811254399</v>
          </cell>
          <cell r="R24">
            <v>11</v>
          </cell>
          <cell r="T24">
            <v>10.8</v>
          </cell>
        </row>
        <row r="25">
          <cell r="O25">
            <v>240</v>
          </cell>
          <cell r="P25">
            <v>70339.976553341156</v>
          </cell>
          <cell r="R25">
            <v>10.8</v>
          </cell>
          <cell r="T25">
            <v>9.8000000000000007</v>
          </cell>
        </row>
        <row r="26">
          <cell r="O26">
            <v>760</v>
          </cell>
          <cell r="P26">
            <v>222743.2590855803</v>
          </cell>
          <cell r="R26">
            <v>9.8000000000000007</v>
          </cell>
          <cell r="T26">
            <v>9.5</v>
          </cell>
          <cell r="V26">
            <v>9.5</v>
          </cell>
        </row>
        <row r="27">
          <cell r="O27">
            <v>2400</v>
          </cell>
          <cell r="P27">
            <v>703399.76553341153</v>
          </cell>
          <cell r="R27">
            <v>9.5</v>
          </cell>
          <cell r="T27">
            <v>9.5</v>
          </cell>
          <cell r="V27">
            <v>9.1999999999999993</v>
          </cell>
        </row>
        <row r="28">
          <cell r="O28">
            <v>1</v>
          </cell>
          <cell r="P28">
            <v>293.08323563892145</v>
          </cell>
          <cell r="Q28">
            <v>13</v>
          </cell>
          <cell r="R28">
            <v>11.31</v>
          </cell>
          <cell r="S28">
            <v>11.31</v>
          </cell>
          <cell r="T28">
            <v>11.31</v>
          </cell>
        </row>
        <row r="29">
          <cell r="O29">
            <v>65</v>
          </cell>
          <cell r="P29">
            <v>19050.410316529895</v>
          </cell>
          <cell r="Q29">
            <v>13</v>
          </cell>
          <cell r="R29">
            <v>11.31</v>
          </cell>
          <cell r="S29">
            <v>11.31</v>
          </cell>
          <cell r="T29">
            <v>11.2</v>
          </cell>
        </row>
        <row r="30">
          <cell r="O30">
            <v>135</v>
          </cell>
          <cell r="P30">
            <v>39566.236811254399</v>
          </cell>
          <cell r="R30">
            <v>11.2</v>
          </cell>
          <cell r="S30">
            <v>11</v>
          </cell>
          <cell r="T30">
            <v>11</v>
          </cell>
        </row>
        <row r="31">
          <cell r="O31">
            <v>240</v>
          </cell>
          <cell r="P31">
            <v>70339.976553341156</v>
          </cell>
          <cell r="R31">
            <v>11</v>
          </cell>
          <cell r="S31">
            <v>10.8</v>
          </cell>
          <cell r="T31">
            <v>10</v>
          </cell>
        </row>
        <row r="32">
          <cell r="O32">
            <v>760</v>
          </cell>
          <cell r="P32">
            <v>222743.2590855803</v>
          </cell>
          <cell r="R32">
            <v>10</v>
          </cell>
          <cell r="S32">
            <v>9.8000000000000007</v>
          </cell>
          <cell r="T32">
            <v>9.6999999999999993</v>
          </cell>
          <cell r="V32">
            <v>9.6999999999999993</v>
          </cell>
        </row>
        <row r="33">
          <cell r="O33">
            <v>2400</v>
          </cell>
          <cell r="P33">
            <v>703399.76553341153</v>
          </cell>
          <cell r="R33">
            <v>9.6999999999999993</v>
          </cell>
          <cell r="S33">
            <v>9.5</v>
          </cell>
          <cell r="T33">
            <v>9.6999999999999993</v>
          </cell>
          <cell r="V33">
            <v>9.4</v>
          </cell>
        </row>
      </sheetData>
      <sheetData sheetId="1">
        <row r="3">
          <cell r="A3">
            <v>1</v>
          </cell>
          <cell r="B3" t="str">
            <v>MainStore:Entry</v>
          </cell>
          <cell r="C3" t="str">
            <v>Entry</v>
          </cell>
          <cell r="D3" t="str">
            <v>Base3-1</v>
          </cell>
          <cell r="E3" t="str">
            <v>RTU-1</v>
          </cell>
          <cell r="F3">
            <v>5</v>
          </cell>
          <cell r="G3" t="str">
            <v>SuperMkt</v>
          </cell>
        </row>
        <row r="4">
          <cell r="A4">
            <v>2</v>
          </cell>
          <cell r="B4" t="str">
            <v>MainStore:Store</v>
          </cell>
          <cell r="C4" t="str">
            <v>MainStore</v>
          </cell>
          <cell r="D4" t="str">
            <v>Base3-1</v>
          </cell>
          <cell r="E4" t="str">
            <v>AHU-1</v>
          </cell>
          <cell r="F4">
            <v>5</v>
          </cell>
          <cell r="G4" t="str">
            <v>SuperMkt</v>
          </cell>
        </row>
        <row r="5">
          <cell r="A5">
            <v>3</v>
          </cell>
          <cell r="B5" t="str">
            <v>MainStore:Pharmacy</v>
          </cell>
          <cell r="C5" t="str">
            <v>Pharmacy</v>
          </cell>
          <cell r="D5" t="str">
            <v>Base3-1</v>
          </cell>
          <cell r="E5" t="str">
            <v>AHU-1</v>
          </cell>
          <cell r="F5">
            <v>5</v>
          </cell>
          <cell r="G5" t="str">
            <v>SuperMkt</v>
          </cell>
        </row>
        <row r="6">
          <cell r="A6">
            <v>4</v>
          </cell>
          <cell r="B6" t="str">
            <v>MainStore:Offices</v>
          </cell>
          <cell r="C6" t="str">
            <v>Offices</v>
          </cell>
          <cell r="D6" t="str">
            <v>Base3-1</v>
          </cell>
          <cell r="E6" t="str">
            <v>AHU-1</v>
          </cell>
          <cell r="F6">
            <v>5</v>
          </cell>
          <cell r="G6" t="str">
            <v>SuperMkt</v>
          </cell>
        </row>
        <row r="7">
          <cell r="A7">
            <v>5</v>
          </cell>
          <cell r="B7" t="str">
            <v>Backrooms:Employees</v>
          </cell>
          <cell r="C7" t="str">
            <v>Employees</v>
          </cell>
          <cell r="D7" t="str">
            <v>Base3-1</v>
          </cell>
          <cell r="E7" t="str">
            <v>AHU-1</v>
          </cell>
          <cell r="F7">
            <v>5</v>
          </cell>
          <cell r="G7" t="str">
            <v>SuperMkt</v>
          </cell>
        </row>
        <row r="8">
          <cell r="A8">
            <v>6</v>
          </cell>
          <cell r="B8" t="str">
            <v>MainStore:Cafe</v>
          </cell>
          <cell r="C8" t="str">
            <v>Café</v>
          </cell>
          <cell r="D8" t="str">
            <v>Base3-1</v>
          </cell>
          <cell r="E8" t="str">
            <v>AHU-1</v>
          </cell>
          <cell r="F8">
            <v>5</v>
          </cell>
          <cell r="G8" t="str">
            <v>SuperMkt</v>
          </cell>
        </row>
        <row r="9">
          <cell r="A9">
            <v>7</v>
          </cell>
          <cell r="B9" t="str">
            <v>MainStore:Bakery</v>
          </cell>
          <cell r="C9" t="str">
            <v>Bakery</v>
          </cell>
          <cell r="D9" t="str">
            <v>Base3-2</v>
          </cell>
          <cell r="E9" t="str">
            <v>AHU-1</v>
          </cell>
          <cell r="F9">
            <v>3</v>
          </cell>
          <cell r="G9" t="str">
            <v>Bakery</v>
          </cell>
        </row>
        <row r="10">
          <cell r="A10">
            <v>8</v>
          </cell>
          <cell r="B10" t="str">
            <v>MainStore:Deli</v>
          </cell>
          <cell r="C10" t="str">
            <v>Deli</v>
          </cell>
          <cell r="D10" t="str">
            <v>Base3-3</v>
          </cell>
          <cell r="E10" t="str">
            <v>AHU-1</v>
          </cell>
          <cell r="F10">
            <v>3</v>
          </cell>
          <cell r="G10" t="str">
            <v>Deli</v>
          </cell>
        </row>
        <row r="11">
          <cell r="A11">
            <v>9</v>
          </cell>
          <cell r="B11" t="str">
            <v>MainStore:Backrooms</v>
          </cell>
          <cell r="C11" t="str">
            <v>Dock_BackRm</v>
          </cell>
          <cell r="D11" t="str">
            <v>Base3-4</v>
          </cell>
          <cell r="E11" t="str">
            <v>Radiant1</v>
          </cell>
          <cell r="F11">
            <v>3</v>
          </cell>
          <cell r="G11" t="str">
            <v>SuperMkt</v>
          </cell>
        </row>
        <row r="12">
          <cell r="A12">
            <v>10</v>
          </cell>
          <cell r="B12" t="str">
            <v>Mezzanine:GenSet</v>
          </cell>
          <cell r="C12" t="str">
            <v>GenSetRm</v>
          </cell>
          <cell r="D12" t="str">
            <v>NotUsed</v>
          </cell>
          <cell r="E12" t="str">
            <v>NotUsed</v>
          </cell>
          <cell r="F12" t="str">
            <v>na</v>
          </cell>
        </row>
        <row r="13">
          <cell r="A13">
            <v>11</v>
          </cell>
          <cell r="B13" t="str">
            <v>Backrooms:DeliFreezer</v>
          </cell>
          <cell r="C13" t="str">
            <v>DeliFreezer</v>
          </cell>
          <cell r="D13" t="str">
            <v>NotUsed</v>
          </cell>
          <cell r="E13" t="str">
            <v>NotUsed</v>
          </cell>
          <cell r="F13" t="str">
            <v>na</v>
          </cell>
        </row>
        <row r="14">
          <cell r="A14">
            <v>12</v>
          </cell>
          <cell r="B14" t="str">
            <v>Backrooms:MeatFreezer</v>
          </cell>
          <cell r="C14" t="str">
            <v>MeatFreezer</v>
          </cell>
          <cell r="D14" t="str">
            <v>NotUsed</v>
          </cell>
          <cell r="E14" t="str">
            <v>NotUsed</v>
          </cell>
          <cell r="F14" t="str">
            <v>na</v>
          </cell>
        </row>
        <row r="15">
          <cell r="A15">
            <v>13</v>
          </cell>
          <cell r="B15" t="str">
            <v>MainStore:ProduceCooler</v>
          </cell>
          <cell r="C15" t="str">
            <v>ProduceCooler</v>
          </cell>
          <cell r="D15" t="str">
            <v>NotUsed</v>
          </cell>
          <cell r="E15" t="str">
            <v>NotUsed</v>
          </cell>
          <cell r="F15" t="str">
            <v>na</v>
          </cell>
        </row>
        <row r="16">
          <cell r="A16">
            <v>14</v>
          </cell>
          <cell r="B16" t="str">
            <v>MainStore:DairyCooler</v>
          </cell>
          <cell r="C16" t="str">
            <v>DairyCooler</v>
          </cell>
          <cell r="D16" t="str">
            <v>NotUsed</v>
          </cell>
          <cell r="E16" t="str">
            <v>NotUsed</v>
          </cell>
          <cell r="F16" t="str">
            <v>na</v>
          </cell>
        </row>
        <row r="17">
          <cell r="A17">
            <v>15</v>
          </cell>
          <cell r="B17" t="str">
            <v>MainStore:MeatCooler</v>
          </cell>
          <cell r="C17" t="str">
            <v>MeatCooler</v>
          </cell>
          <cell r="D17" t="str">
            <v>NotUsed</v>
          </cell>
          <cell r="E17" t="str">
            <v>NotUsed</v>
          </cell>
          <cell r="F17" t="str">
            <v>na</v>
          </cell>
        </row>
        <row r="18">
          <cell r="A18">
            <v>16</v>
          </cell>
          <cell r="B18" t="str">
            <v>MainStore:MeatPrep</v>
          </cell>
          <cell r="C18" t="str">
            <v>MeatPrep</v>
          </cell>
          <cell r="D18" t="str">
            <v>NotUsed</v>
          </cell>
          <cell r="E18" t="str">
            <v>NotUsed</v>
          </cell>
          <cell r="F18" t="str">
            <v>na</v>
          </cell>
        </row>
        <row r="19">
          <cell r="A19">
            <v>17</v>
          </cell>
          <cell r="B19" t="str">
            <v>MainStore:DeliCoolers</v>
          </cell>
          <cell r="C19" t="str">
            <v>DeliCoolers</v>
          </cell>
          <cell r="D19" t="str">
            <v>NotUsed</v>
          </cell>
          <cell r="E19" t="str">
            <v>NotUsed</v>
          </cell>
          <cell r="F19" t="str">
            <v>na</v>
          </cell>
        </row>
        <row r="20">
          <cell r="A20">
            <v>18</v>
          </cell>
        </row>
        <row r="21">
          <cell r="A21">
            <v>19</v>
          </cell>
        </row>
        <row r="22">
          <cell r="A22">
            <v>20</v>
          </cell>
        </row>
        <row r="23">
          <cell r="C23">
            <v>17</v>
          </cell>
        </row>
      </sheetData>
      <sheetData sheetId="2">
        <row r="6">
          <cell r="F6">
            <v>0</v>
          </cell>
          <cell r="G6" t="str">
            <v>NodeIn_ChWtrSupplyInlet</v>
          </cell>
          <cell r="I6" t="str">
            <v>C000</v>
          </cell>
        </row>
        <row r="7">
          <cell r="F7">
            <v>1</v>
          </cell>
          <cell r="G7" t="str">
            <v>NodeOut_ChWtrPump_1</v>
          </cell>
          <cell r="I7" t="str">
            <v>C001</v>
          </cell>
        </row>
        <row r="8">
          <cell r="F8">
            <v>2</v>
          </cell>
          <cell r="G8" t="str">
            <v>NodeOut_ChWtrSupplyInlet</v>
          </cell>
          <cell r="I8" t="str">
            <v>C002</v>
          </cell>
        </row>
        <row r="9">
          <cell r="F9">
            <v>3</v>
          </cell>
          <cell r="G9" t="str">
            <v>Not Used</v>
          </cell>
          <cell r="I9" t="str">
            <v>C003</v>
          </cell>
        </row>
        <row r="10">
          <cell r="F10">
            <v>5</v>
          </cell>
          <cell r="G10" t="str">
            <v>NodeIn_CHWPump1</v>
          </cell>
          <cell r="I10" t="str">
            <v>C004</v>
          </cell>
        </row>
        <row r="11">
          <cell r="F11">
            <v>6</v>
          </cell>
          <cell r="G11" t="str">
            <v>NodeIn_ChW_RM1</v>
          </cell>
          <cell r="I11" t="str">
            <v>C005</v>
          </cell>
        </row>
        <row r="12">
          <cell r="F12">
            <v>7</v>
          </cell>
          <cell r="G12" t="str">
            <v>NodeOut_ChW_RM1</v>
          </cell>
          <cell r="I12" t="str">
            <v>C006</v>
          </cell>
        </row>
        <row r="13">
          <cell r="F13">
            <v>8</v>
          </cell>
          <cell r="G13" t="str">
            <v>NodeIn_CHWPump2</v>
          </cell>
          <cell r="I13" t="str">
            <v>C007</v>
          </cell>
        </row>
        <row r="14">
          <cell r="F14">
            <v>9</v>
          </cell>
          <cell r="G14" t="str">
            <v>NodeIn_ChW_RM2</v>
          </cell>
          <cell r="I14" t="str">
            <v>C008</v>
          </cell>
        </row>
        <row r="15">
          <cell r="F15">
            <v>10</v>
          </cell>
          <cell r="G15" t="str">
            <v>NodeOut_ChW_RM2</v>
          </cell>
          <cell r="I15" t="str">
            <v>C009</v>
          </cell>
        </row>
        <row r="16">
          <cell r="F16">
            <v>11</v>
          </cell>
          <cell r="G16" t="str">
            <v>NodeIn_CHWPump3</v>
          </cell>
          <cell r="I16" t="str">
            <v>C050</v>
          </cell>
          <cell r="J16" t="str">
            <v>WtrHtr_DomWtr</v>
          </cell>
        </row>
        <row r="17">
          <cell r="F17">
            <v>12</v>
          </cell>
          <cell r="G17" t="str">
            <v>NodeIn_ChW_RM3</v>
          </cell>
          <cell r="I17" t="str">
            <v>C051</v>
          </cell>
          <cell r="J17" t="str">
            <v>PoolHtr_</v>
          </cell>
        </row>
        <row r="18">
          <cell r="F18">
            <v>13</v>
          </cell>
          <cell r="G18" t="str">
            <v>NodeOut_ChW_RM3</v>
          </cell>
          <cell r="I18" t="str">
            <v>C052</v>
          </cell>
        </row>
        <row r="19">
          <cell r="F19">
            <v>14</v>
          </cell>
          <cell r="G19" t="str">
            <v>NodeIn_CHWPump4</v>
          </cell>
          <cell r="I19" t="str">
            <v>C053</v>
          </cell>
        </row>
        <row r="20">
          <cell r="F20">
            <v>15</v>
          </cell>
          <cell r="G20" t="str">
            <v>NodeIn_ChW_RM4</v>
          </cell>
          <cell r="I20" t="str">
            <v>C054</v>
          </cell>
        </row>
        <row r="21">
          <cell r="F21">
            <v>16</v>
          </cell>
          <cell r="I21" t="str">
            <v>C055</v>
          </cell>
        </row>
        <row r="22">
          <cell r="F22">
            <v>17</v>
          </cell>
          <cell r="I22" t="str">
            <v>C056</v>
          </cell>
        </row>
        <row r="23">
          <cell r="F23">
            <v>18</v>
          </cell>
          <cell r="I23" t="str">
            <v>C057</v>
          </cell>
        </row>
        <row r="24">
          <cell r="F24">
            <v>19</v>
          </cell>
          <cell r="I24" t="str">
            <v>C058</v>
          </cell>
        </row>
        <row r="25">
          <cell r="F25">
            <v>20</v>
          </cell>
          <cell r="G25" t="str">
            <v>NodeIn_ChWtrSupply Bypass</v>
          </cell>
          <cell r="I25" t="str">
            <v>C059</v>
          </cell>
        </row>
        <row r="26">
          <cell r="F26">
            <v>21</v>
          </cell>
          <cell r="G26" t="str">
            <v>NodeOut_ChWtrSupply Bypass</v>
          </cell>
          <cell r="I26" t="str">
            <v>C090</v>
          </cell>
          <cell r="J26" t="str">
            <v>OANodeLIST_</v>
          </cell>
        </row>
        <row r="27">
          <cell r="F27">
            <v>22</v>
          </cell>
          <cell r="G27" t="str">
            <v>NodeIn_ChWtrSupply Outlet</v>
          </cell>
          <cell r="I27" t="str">
            <v>C091</v>
          </cell>
          <cell r="J27" t="str">
            <v>MANodeLIST_</v>
          </cell>
        </row>
        <row r="28">
          <cell r="F28">
            <v>23</v>
          </cell>
          <cell r="G28" t="str">
            <v>NodeOut_ChWtrSupply Outlet</v>
          </cell>
          <cell r="I28" t="str">
            <v>C092</v>
          </cell>
          <cell r="J28" t="str">
            <v>RHNodeLIST_</v>
          </cell>
        </row>
        <row r="29">
          <cell r="F29">
            <v>24</v>
          </cell>
          <cell r="I29" t="str">
            <v>C093</v>
          </cell>
        </row>
        <row r="30">
          <cell r="F30">
            <v>25</v>
          </cell>
          <cell r="G30" t="str">
            <v>NodeIn_CHWtrDemand Inlet</v>
          </cell>
          <cell r="I30" t="str">
            <v>C094</v>
          </cell>
        </row>
        <row r="31">
          <cell r="F31">
            <v>26</v>
          </cell>
          <cell r="G31" t="str">
            <v>NodeOut_ChWtrDistPump</v>
          </cell>
          <cell r="I31" t="str">
            <v>C095</v>
          </cell>
        </row>
        <row r="32">
          <cell r="F32">
            <v>27</v>
          </cell>
          <cell r="G32" t="str">
            <v>NodeOut_CHWtrDemand Inlet</v>
          </cell>
          <cell r="I32" t="str">
            <v>C096</v>
          </cell>
        </row>
        <row r="33">
          <cell r="F33">
            <v>28</v>
          </cell>
          <cell r="I33" t="str">
            <v>C097</v>
          </cell>
        </row>
        <row r="34">
          <cell r="F34">
            <v>29</v>
          </cell>
          <cell r="I34" t="str">
            <v>C098</v>
          </cell>
        </row>
        <row r="35">
          <cell r="F35">
            <v>30</v>
          </cell>
          <cell r="G35" t="str">
            <v>NodeIn_ChWtrCoil_</v>
          </cell>
          <cell r="I35" t="str">
            <v>C099</v>
          </cell>
        </row>
        <row r="36">
          <cell r="F36">
            <v>31</v>
          </cell>
          <cell r="G36" t="str">
            <v>NodeOut_ChWtrCoil_</v>
          </cell>
          <cell r="I36" t="str">
            <v>C100</v>
          </cell>
          <cell r="J36" t="str">
            <v>BrLIST_CHWtr Supply</v>
          </cell>
        </row>
        <row r="37">
          <cell r="F37">
            <v>32</v>
          </cell>
          <cell r="I37" t="str">
            <v>C101</v>
          </cell>
          <cell r="J37" t="str">
            <v>Branch_CHWtr Supply Pump</v>
          </cell>
        </row>
        <row r="38">
          <cell r="F38">
            <v>40</v>
          </cell>
          <cell r="G38" t="str">
            <v>NodeIn_ChBeamWtr_</v>
          </cell>
          <cell r="I38" t="str">
            <v>C102</v>
          </cell>
          <cell r="J38" t="str">
            <v>Branch_CHWtr Supply Chiller</v>
          </cell>
        </row>
        <row r="39">
          <cell r="F39">
            <v>41</v>
          </cell>
          <cell r="G39" t="str">
            <v>NodeOut_ChBeamWtr_</v>
          </cell>
          <cell r="I39" t="str">
            <v>C103</v>
          </cell>
          <cell r="J39" t="str">
            <v>Branch_CHWtr Supply Bypass</v>
          </cell>
        </row>
        <row r="40">
          <cell r="F40">
            <v>42</v>
          </cell>
          <cell r="I40" t="str">
            <v>C104</v>
          </cell>
          <cell r="J40" t="str">
            <v>Branch_CHWtr Supply Outlet</v>
          </cell>
        </row>
        <row r="41">
          <cell r="F41">
            <v>43</v>
          </cell>
          <cell r="I41" t="str">
            <v>C105</v>
          </cell>
        </row>
        <row r="42">
          <cell r="F42">
            <v>50</v>
          </cell>
          <cell r="G42" t="str">
            <v>NodeIn_ChWtrFanCoil_</v>
          </cell>
          <cell r="I42" t="str">
            <v>C106</v>
          </cell>
        </row>
        <row r="43">
          <cell r="F43">
            <v>51</v>
          </cell>
          <cell r="G43" t="str">
            <v>NodeOut_ChWtrFanCoil_</v>
          </cell>
          <cell r="I43" t="str">
            <v>C107</v>
          </cell>
        </row>
        <row r="44">
          <cell r="F44">
            <v>52</v>
          </cell>
          <cell r="I44" t="str">
            <v>C108</v>
          </cell>
        </row>
        <row r="45">
          <cell r="F45">
            <v>60</v>
          </cell>
          <cell r="G45" t="str">
            <v>NodeIn_CHwtrDemand Bypass</v>
          </cell>
          <cell r="I45" t="str">
            <v>C109</v>
          </cell>
        </row>
        <row r="46">
          <cell r="F46">
            <v>61</v>
          </cell>
          <cell r="G46" t="str">
            <v>NodeOut_CHwtrDemand Bypass</v>
          </cell>
          <cell r="I46" t="str">
            <v>C110</v>
          </cell>
          <cell r="J46" t="str">
            <v>ConnLIST_CHWtr Supply</v>
          </cell>
        </row>
        <row r="47">
          <cell r="F47">
            <v>62</v>
          </cell>
          <cell r="I47" t="str">
            <v>C111</v>
          </cell>
          <cell r="J47" t="str">
            <v>Splitter_CHWtr Supply</v>
          </cell>
        </row>
        <row r="48">
          <cell r="F48">
            <v>70</v>
          </cell>
          <cell r="G48" t="str">
            <v>NodeIn_CHwtrDemand Outlet</v>
          </cell>
          <cell r="I48" t="str">
            <v>C112</v>
          </cell>
          <cell r="J48" t="str">
            <v>Mixer_CHWtr Supply</v>
          </cell>
        </row>
        <row r="49">
          <cell r="F49">
            <v>71</v>
          </cell>
          <cell r="G49" t="str">
            <v>NodeOut_CHwtrDemand Outlet</v>
          </cell>
          <cell r="I49" t="str">
            <v>C113</v>
          </cell>
        </row>
        <row r="50">
          <cell r="F50">
            <v>72</v>
          </cell>
          <cell r="I50" t="str">
            <v>C114</v>
          </cell>
        </row>
        <row r="51">
          <cell r="F51">
            <v>73</v>
          </cell>
          <cell r="I51" t="str">
            <v>C115</v>
          </cell>
        </row>
        <row r="52">
          <cell r="F52">
            <v>74</v>
          </cell>
          <cell r="I52" t="str">
            <v>C116</v>
          </cell>
        </row>
        <row r="53">
          <cell r="F53">
            <v>75</v>
          </cell>
          <cell r="I53" t="str">
            <v>C117</v>
          </cell>
        </row>
        <row r="54">
          <cell r="F54">
            <v>76</v>
          </cell>
          <cell r="I54" t="str">
            <v>C118</v>
          </cell>
        </row>
        <row r="55">
          <cell r="F55">
            <v>77</v>
          </cell>
          <cell r="I55" t="str">
            <v>C119</v>
          </cell>
        </row>
        <row r="56">
          <cell r="F56">
            <v>78</v>
          </cell>
          <cell r="I56" t="str">
            <v>C120</v>
          </cell>
          <cell r="J56" t="str">
            <v>BrLIST_CHWtr Demand</v>
          </cell>
        </row>
        <row r="57">
          <cell r="F57">
            <v>79</v>
          </cell>
          <cell r="I57" t="str">
            <v>C121</v>
          </cell>
          <cell r="J57" t="str">
            <v>Branch_CHWtr Demand Inlet</v>
          </cell>
        </row>
        <row r="58">
          <cell r="F58">
            <v>80</v>
          </cell>
          <cell r="I58" t="str">
            <v>C122</v>
          </cell>
          <cell r="J58" t="str">
            <v>Branch_CHWtr_</v>
          </cell>
        </row>
        <row r="59">
          <cell r="F59">
            <v>81</v>
          </cell>
          <cell r="I59" t="str">
            <v>C123</v>
          </cell>
        </row>
        <row r="60">
          <cell r="F60">
            <v>82</v>
          </cell>
          <cell r="I60" t="str">
            <v>C124</v>
          </cell>
        </row>
        <row r="61">
          <cell r="F61">
            <v>83</v>
          </cell>
          <cell r="I61" t="str">
            <v>C125</v>
          </cell>
        </row>
        <row r="62">
          <cell r="F62">
            <v>84</v>
          </cell>
          <cell r="I62" t="str">
            <v>C126</v>
          </cell>
        </row>
        <row r="63">
          <cell r="F63">
            <v>85</v>
          </cell>
          <cell r="I63" t="str">
            <v>C127</v>
          </cell>
        </row>
        <row r="64">
          <cell r="F64">
            <v>86</v>
          </cell>
          <cell r="I64" t="str">
            <v>C128</v>
          </cell>
        </row>
        <row r="65">
          <cell r="F65">
            <v>87</v>
          </cell>
          <cell r="I65" t="str">
            <v>C129</v>
          </cell>
        </row>
        <row r="66">
          <cell r="F66">
            <v>88</v>
          </cell>
          <cell r="I66" t="str">
            <v>C130</v>
          </cell>
          <cell r="J66" t="str">
            <v>Branch_CHWtr Demand Bypass</v>
          </cell>
        </row>
        <row r="67">
          <cell r="F67">
            <v>89</v>
          </cell>
          <cell r="I67" t="str">
            <v>C131</v>
          </cell>
          <cell r="J67" t="str">
            <v>Branch_CHWtr Demand Outlet</v>
          </cell>
        </row>
        <row r="68">
          <cell r="F68">
            <v>90</v>
          </cell>
          <cell r="I68" t="str">
            <v>C132</v>
          </cell>
        </row>
        <row r="69">
          <cell r="F69">
            <v>91</v>
          </cell>
          <cell r="I69" t="str">
            <v>C133</v>
          </cell>
        </row>
        <row r="70">
          <cell r="F70">
            <v>92</v>
          </cell>
          <cell r="I70" t="str">
            <v>C134</v>
          </cell>
        </row>
        <row r="71">
          <cell r="F71">
            <v>101</v>
          </cell>
          <cell r="G71" t="str">
            <v>NodeIn_CondWtrSupplyInlet</v>
          </cell>
          <cell r="I71" t="str">
            <v>C135</v>
          </cell>
        </row>
        <row r="72">
          <cell r="F72">
            <v>102</v>
          </cell>
          <cell r="G72" t="str">
            <v>NodeOut_CondWtrPump</v>
          </cell>
          <cell r="I72" t="str">
            <v>C136</v>
          </cell>
        </row>
        <row r="73">
          <cell r="F73">
            <v>103</v>
          </cell>
          <cell r="G73" t="str">
            <v>NodeOut_CondWtrSupplyInlet</v>
          </cell>
          <cell r="I73" t="str">
            <v>C137</v>
          </cell>
        </row>
        <row r="74">
          <cell r="F74">
            <v>104</v>
          </cell>
          <cell r="G74" t="str">
            <v>Not Used</v>
          </cell>
          <cell r="I74" t="str">
            <v>C138</v>
          </cell>
        </row>
        <row r="75">
          <cell r="F75">
            <v>105</v>
          </cell>
          <cell r="G75" t="str">
            <v>NodeIn_CondWtrPump1</v>
          </cell>
          <cell r="I75" t="str">
            <v>C139</v>
          </cell>
        </row>
        <row r="76">
          <cell r="F76">
            <v>106</v>
          </cell>
          <cell r="G76" t="str">
            <v>NodeIn_RM1Cond</v>
          </cell>
          <cell r="I76" t="str">
            <v>C140</v>
          </cell>
          <cell r="J76" t="str">
            <v>ConnLIST_CHWtr Demand</v>
          </cell>
        </row>
        <row r="77">
          <cell r="F77">
            <v>107</v>
          </cell>
          <cell r="G77" t="str">
            <v>NodeOut_RM1Cond</v>
          </cell>
          <cell r="I77" t="str">
            <v>C141</v>
          </cell>
          <cell r="J77" t="str">
            <v>Splitter_CHWtr Demand</v>
          </cell>
        </row>
        <row r="78">
          <cell r="F78">
            <v>108</v>
          </cell>
          <cell r="G78" t="str">
            <v>NodeIn_CondWtrPump2</v>
          </cell>
          <cell r="I78" t="str">
            <v>C142</v>
          </cell>
          <cell r="J78" t="str">
            <v>Mixer_CHWtr Demand</v>
          </cell>
        </row>
        <row r="79">
          <cell r="F79">
            <v>109</v>
          </cell>
          <cell r="G79" t="str">
            <v>NodeIn_RM2Cond</v>
          </cell>
          <cell r="I79" t="str">
            <v>C143</v>
          </cell>
        </row>
        <row r="80">
          <cell r="F80">
            <v>110</v>
          </cell>
          <cell r="G80" t="str">
            <v>NodeOut_RM2Cond</v>
          </cell>
          <cell r="I80" t="str">
            <v>C144</v>
          </cell>
        </row>
        <row r="81">
          <cell r="F81">
            <v>111</v>
          </cell>
          <cell r="G81" t="str">
            <v>NodeIn_CondWtrPump3</v>
          </cell>
          <cell r="I81" t="str">
            <v>C145</v>
          </cell>
        </row>
        <row r="82">
          <cell r="F82">
            <v>112</v>
          </cell>
          <cell r="G82" t="str">
            <v>NodeIn_RM3Cond</v>
          </cell>
          <cell r="I82" t="str">
            <v>C146</v>
          </cell>
        </row>
        <row r="83">
          <cell r="F83">
            <v>113</v>
          </cell>
          <cell r="G83" t="str">
            <v>NodeOut_RM3Cond</v>
          </cell>
          <cell r="I83" t="str">
            <v>C147</v>
          </cell>
        </row>
        <row r="84">
          <cell r="F84">
            <v>114</v>
          </cell>
          <cell r="G84" t="str">
            <v>NodeIn_CondWtrPump4</v>
          </cell>
          <cell r="I84" t="str">
            <v>C148</v>
          </cell>
        </row>
        <row r="85">
          <cell r="F85">
            <v>115</v>
          </cell>
          <cell r="G85" t="str">
            <v>NodeIn_RM4Cond</v>
          </cell>
          <cell r="I85" t="str">
            <v>C149</v>
          </cell>
        </row>
        <row r="86">
          <cell r="F86">
            <v>116</v>
          </cell>
          <cell r="I86" t="str">
            <v>C150</v>
          </cell>
        </row>
        <row r="87">
          <cell r="F87">
            <v>117</v>
          </cell>
          <cell r="I87" t="str">
            <v>C151</v>
          </cell>
        </row>
        <row r="88">
          <cell r="F88">
            <v>118</v>
          </cell>
          <cell r="I88" t="str">
            <v>C152</v>
          </cell>
        </row>
        <row r="89">
          <cell r="F89">
            <v>119</v>
          </cell>
          <cell r="I89" t="str">
            <v>C153</v>
          </cell>
        </row>
        <row r="90">
          <cell r="F90">
            <v>120</v>
          </cell>
          <cell r="G90" t="str">
            <v>NodeIn_CondWtrSupply Bypass</v>
          </cell>
          <cell r="I90" t="str">
            <v>C154</v>
          </cell>
        </row>
        <row r="91">
          <cell r="F91">
            <v>121</v>
          </cell>
          <cell r="G91" t="str">
            <v>NodeOut_CondWtrSupply Bypass</v>
          </cell>
          <cell r="I91" t="str">
            <v>C155</v>
          </cell>
        </row>
        <row r="92">
          <cell r="F92">
            <v>122</v>
          </cell>
          <cell r="G92" t="str">
            <v>NodeIn_CondWtrSupply Outlet</v>
          </cell>
          <cell r="I92" t="str">
            <v>C156</v>
          </cell>
        </row>
        <row r="93">
          <cell r="F93">
            <v>123</v>
          </cell>
          <cell r="G93" t="str">
            <v>NodeOut_CondWtrSupply Outlet</v>
          </cell>
          <cell r="I93" t="str">
            <v>C157</v>
          </cell>
        </row>
        <row r="94">
          <cell r="F94">
            <v>124</v>
          </cell>
          <cell r="I94" t="str">
            <v>C158</v>
          </cell>
        </row>
        <row r="95">
          <cell r="F95">
            <v>125</v>
          </cell>
          <cell r="G95" t="str">
            <v>NodeIn_CondWtrDemand Inlet</v>
          </cell>
          <cell r="I95" t="str">
            <v>C159</v>
          </cell>
        </row>
        <row r="96">
          <cell r="F96">
            <v>126</v>
          </cell>
          <cell r="G96" t="str">
            <v>NodeOut_CondWtrDistPump</v>
          </cell>
          <cell r="I96" t="str">
            <v>C160</v>
          </cell>
          <cell r="J96" t="str">
            <v>BrLIST_CondWtr Supply</v>
          </cell>
        </row>
        <row r="97">
          <cell r="F97">
            <v>127</v>
          </cell>
          <cell r="G97" t="str">
            <v>NodeOut_CondWtrDemand Inlet</v>
          </cell>
          <cell r="I97" t="str">
            <v>C161</v>
          </cell>
          <cell r="J97" t="str">
            <v>Branch_CondWtr Supply Pump</v>
          </cell>
        </row>
        <row r="98">
          <cell r="F98">
            <v>128</v>
          </cell>
          <cell r="I98" t="str">
            <v>C162</v>
          </cell>
          <cell r="J98" t="str">
            <v>Branch_CondWtr Supply GHX</v>
          </cell>
        </row>
        <row r="99">
          <cell r="F99">
            <v>129</v>
          </cell>
          <cell r="I99" t="str">
            <v>C163</v>
          </cell>
          <cell r="J99" t="str">
            <v>Branch_CondWtr Supply Bypass</v>
          </cell>
        </row>
        <row r="100">
          <cell r="F100">
            <v>130</v>
          </cell>
          <cell r="I100" t="str">
            <v>C164</v>
          </cell>
          <cell r="J100" t="str">
            <v>Branch_CondWtr Supply Outlet</v>
          </cell>
        </row>
        <row r="101">
          <cell r="F101">
            <v>131</v>
          </cell>
          <cell r="I101" t="str">
            <v>C165</v>
          </cell>
        </row>
        <row r="102">
          <cell r="F102">
            <v>132</v>
          </cell>
          <cell r="I102" t="str">
            <v>C166</v>
          </cell>
        </row>
        <row r="103">
          <cell r="F103">
            <v>133</v>
          </cell>
          <cell r="I103" t="str">
            <v>C167</v>
          </cell>
        </row>
        <row r="104">
          <cell r="F104">
            <v>134</v>
          </cell>
          <cell r="I104" t="str">
            <v>C168</v>
          </cell>
        </row>
        <row r="105">
          <cell r="F105">
            <v>135</v>
          </cell>
          <cell r="I105" t="str">
            <v>C169</v>
          </cell>
        </row>
        <row r="106">
          <cell r="F106">
            <v>170</v>
          </cell>
          <cell r="G106" t="str">
            <v>NodeIn_CondWtrDemand Bypass</v>
          </cell>
          <cell r="I106" t="str">
            <v>C170</v>
          </cell>
          <cell r="J106" t="str">
            <v>ConnLIST_CondWtr Supply</v>
          </cell>
        </row>
        <row r="107">
          <cell r="F107">
            <v>171</v>
          </cell>
          <cell r="G107" t="str">
            <v>NodeOut_CondWtrDemand Bypass</v>
          </cell>
          <cell r="I107" t="str">
            <v>C171</v>
          </cell>
          <cell r="J107" t="str">
            <v>Splitter_CondWtr Supply</v>
          </cell>
        </row>
        <row r="108">
          <cell r="F108">
            <v>172</v>
          </cell>
          <cell r="I108" t="str">
            <v>C172</v>
          </cell>
          <cell r="J108" t="str">
            <v>Mixer_CondWtr Supply</v>
          </cell>
        </row>
        <row r="109">
          <cell r="F109">
            <v>173</v>
          </cell>
          <cell r="I109" t="str">
            <v>C173</v>
          </cell>
        </row>
        <row r="110">
          <cell r="F110">
            <v>174</v>
          </cell>
          <cell r="I110" t="str">
            <v>C174</v>
          </cell>
        </row>
        <row r="111">
          <cell r="F111">
            <v>175</v>
          </cell>
          <cell r="I111" t="str">
            <v>C175</v>
          </cell>
        </row>
        <row r="112">
          <cell r="F112">
            <v>170</v>
          </cell>
          <cell r="G112" t="str">
            <v>NodeIn_CondWtrDemand Outlet</v>
          </cell>
          <cell r="I112" t="str">
            <v>C176</v>
          </cell>
        </row>
        <row r="113">
          <cell r="F113">
            <v>171</v>
          </cell>
          <cell r="G113" t="str">
            <v>NodeOut_CondWtrDemand Outlet</v>
          </cell>
          <cell r="I113" t="str">
            <v>C177</v>
          </cell>
        </row>
        <row r="114">
          <cell r="F114">
            <v>172</v>
          </cell>
          <cell r="I114" t="str">
            <v>C178</v>
          </cell>
        </row>
        <row r="115">
          <cell r="F115">
            <v>173</v>
          </cell>
          <cell r="I115" t="str">
            <v>C179</v>
          </cell>
        </row>
        <row r="116">
          <cell r="F116">
            <v>174</v>
          </cell>
          <cell r="I116" t="str">
            <v>C180</v>
          </cell>
          <cell r="J116" t="str">
            <v>BrLIST_CondWtr Demand</v>
          </cell>
        </row>
        <row r="117">
          <cell r="F117">
            <v>175</v>
          </cell>
          <cell r="I117" t="str">
            <v>C181</v>
          </cell>
          <cell r="J117" t="str">
            <v>Branch_CondWtr Demand Inlet</v>
          </cell>
        </row>
        <row r="118">
          <cell r="F118">
            <v>176</v>
          </cell>
          <cell r="I118" t="str">
            <v>C182</v>
          </cell>
          <cell r="J118" t="str">
            <v>Branch_CondWtr_RM1</v>
          </cell>
        </row>
        <row r="119">
          <cell r="F119">
            <v>177</v>
          </cell>
          <cell r="I119" t="str">
            <v>C183</v>
          </cell>
          <cell r="J119" t="str">
            <v>Branch_CondWtr_RM2</v>
          </cell>
        </row>
        <row r="120">
          <cell r="F120">
            <v>178</v>
          </cell>
          <cell r="I120" t="str">
            <v>C184</v>
          </cell>
          <cell r="J120" t="str">
            <v>Branch_CondWtr_RM3</v>
          </cell>
        </row>
        <row r="121">
          <cell r="F121">
            <v>179</v>
          </cell>
          <cell r="I121" t="str">
            <v>C185</v>
          </cell>
          <cell r="J121" t="str">
            <v>Branch_CondWtr_RM4</v>
          </cell>
        </row>
        <row r="122">
          <cell r="F122">
            <v>200</v>
          </cell>
          <cell r="G122" t="str">
            <v>NodeIn_CondWtrSupplyInlet</v>
          </cell>
          <cell r="I122" t="str">
            <v>C186</v>
          </cell>
          <cell r="J122" t="str">
            <v>Branch_CondWtr Demand Bypass</v>
          </cell>
        </row>
        <row r="123">
          <cell r="F123">
            <v>201</v>
          </cell>
          <cell r="G123" t="str">
            <v>NodeOut_CondWtrPump</v>
          </cell>
          <cell r="I123" t="str">
            <v>C187</v>
          </cell>
          <cell r="J123" t="str">
            <v>Branch_CondWtr Demand Outlet</v>
          </cell>
        </row>
        <row r="124">
          <cell r="F124">
            <v>202</v>
          </cell>
          <cell r="G124" t="str">
            <v>NodeOut_CondWtrSupplyInlet</v>
          </cell>
          <cell r="I124" t="str">
            <v>C188</v>
          </cell>
        </row>
        <row r="125">
          <cell r="F125">
            <v>203</v>
          </cell>
          <cell r="G125" t="str">
            <v>Not Used</v>
          </cell>
          <cell r="I125" t="str">
            <v>C189</v>
          </cell>
        </row>
        <row r="126">
          <cell r="F126">
            <v>205</v>
          </cell>
          <cell r="G126" t="str">
            <v>NodeIn_BlrPump1_</v>
          </cell>
          <cell r="I126" t="str">
            <v>C190</v>
          </cell>
        </row>
        <row r="127">
          <cell r="F127">
            <v>206</v>
          </cell>
          <cell r="G127" t="str">
            <v>NodeIn_Blr1_</v>
          </cell>
          <cell r="I127" t="str">
            <v>C191</v>
          </cell>
        </row>
        <row r="128">
          <cell r="F128">
            <v>207</v>
          </cell>
          <cell r="G128" t="str">
            <v>NodeOut_Blr1_</v>
          </cell>
          <cell r="I128" t="str">
            <v>C192</v>
          </cell>
        </row>
        <row r="129">
          <cell r="F129">
            <v>208</v>
          </cell>
          <cell r="G129" t="str">
            <v>NodeIn_RMPump1_</v>
          </cell>
          <cell r="I129" t="str">
            <v>C193</v>
          </cell>
        </row>
        <row r="130">
          <cell r="F130">
            <v>209</v>
          </cell>
          <cell r="G130" t="str">
            <v>NodeIn_Chlr1_</v>
          </cell>
          <cell r="I130" t="str">
            <v>C194</v>
          </cell>
        </row>
        <row r="131">
          <cell r="F131">
            <v>210</v>
          </cell>
          <cell r="G131" t="str">
            <v>NodeOut_Chlr1_</v>
          </cell>
          <cell r="I131" t="str">
            <v>C195</v>
          </cell>
        </row>
        <row r="132">
          <cell r="F132">
            <v>211</v>
          </cell>
          <cell r="G132" t="str">
            <v>NodeIn_RMPump2_</v>
          </cell>
          <cell r="I132" t="str">
            <v>C196</v>
          </cell>
        </row>
        <row r="133">
          <cell r="F133">
            <v>212</v>
          </cell>
          <cell r="G133" t="str">
            <v>NodeIn_Chlr2_</v>
          </cell>
          <cell r="I133" t="str">
            <v>C197</v>
          </cell>
        </row>
        <row r="134">
          <cell r="F134">
            <v>213</v>
          </cell>
          <cell r="G134" t="str">
            <v>NodeOut_Chlr2_</v>
          </cell>
          <cell r="I134" t="str">
            <v>C198</v>
          </cell>
        </row>
        <row r="135">
          <cell r="F135">
            <v>214</v>
          </cell>
          <cell r="G135" t="str">
            <v>NodeIn_RMPump3_</v>
          </cell>
          <cell r="I135" t="str">
            <v>C199</v>
          </cell>
        </row>
        <row r="136">
          <cell r="F136">
            <v>215</v>
          </cell>
          <cell r="G136" t="str">
            <v>NodeIn_Chlr3_</v>
          </cell>
          <cell r="I136" t="str">
            <v>C200</v>
          </cell>
          <cell r="J136" t="str">
            <v>ConnLIST_CondWtr Demand</v>
          </cell>
        </row>
        <row r="137">
          <cell r="F137">
            <v>216</v>
          </cell>
          <cell r="G137" t="str">
            <v>NodeOut_Chlr3_</v>
          </cell>
          <cell r="I137" t="str">
            <v>C201</v>
          </cell>
          <cell r="J137" t="str">
            <v>Splitter_CondWtr Demand</v>
          </cell>
        </row>
        <row r="138">
          <cell r="F138">
            <v>217</v>
          </cell>
          <cell r="I138" t="str">
            <v>C202</v>
          </cell>
          <cell r="J138" t="str">
            <v>Mixer_CondWtr Demand</v>
          </cell>
        </row>
        <row r="139">
          <cell r="F139">
            <v>218</v>
          </cell>
          <cell r="I139" t="str">
            <v>C203</v>
          </cell>
        </row>
        <row r="140">
          <cell r="F140">
            <v>219</v>
          </cell>
          <cell r="I140" t="str">
            <v>C204</v>
          </cell>
        </row>
        <row r="141">
          <cell r="F141">
            <v>220</v>
          </cell>
          <cell r="G141" t="str">
            <v>NodeIn_CondWtrSupply Bypass</v>
          </cell>
          <cell r="I141" t="str">
            <v>C205</v>
          </cell>
        </row>
        <row r="142">
          <cell r="F142">
            <v>221</v>
          </cell>
          <cell r="G142" t="str">
            <v>NodeOut_CondWtrSupply Bypass</v>
          </cell>
          <cell r="I142" t="str">
            <v>C206</v>
          </cell>
        </row>
        <row r="143">
          <cell r="F143">
            <v>222</v>
          </cell>
          <cell r="G143" t="str">
            <v>NodeIn_CondWtrSupply Outlet</v>
          </cell>
          <cell r="I143" t="str">
            <v>C207</v>
          </cell>
        </row>
        <row r="144">
          <cell r="F144">
            <v>223</v>
          </cell>
          <cell r="G144" t="str">
            <v>NodeOut_CondWtrSupply Outlet</v>
          </cell>
          <cell r="I144" t="str">
            <v>C208</v>
          </cell>
        </row>
        <row r="145">
          <cell r="F145">
            <v>224</v>
          </cell>
          <cell r="I145" t="str">
            <v>C209</v>
          </cell>
        </row>
        <row r="146">
          <cell r="F146">
            <v>225</v>
          </cell>
          <cell r="G146" t="str">
            <v>NodeIn_CondWtrDemand Inlet</v>
          </cell>
          <cell r="I146" t="str">
            <v>C210</v>
          </cell>
          <cell r="J146" t="str">
            <v>CondEqLIST_1</v>
          </cell>
        </row>
        <row r="147">
          <cell r="F147">
            <v>226</v>
          </cell>
          <cell r="G147" t="str">
            <v>NodeOut_CondWtrDistPump</v>
          </cell>
          <cell r="I147" t="str">
            <v>C211</v>
          </cell>
          <cell r="J147" t="str">
            <v>HX_Ground Vertical</v>
          </cell>
        </row>
        <row r="148">
          <cell r="F148">
            <v>227</v>
          </cell>
          <cell r="G148" t="str">
            <v>NodeOut_CondWtrDemand Inlet</v>
          </cell>
          <cell r="I148" t="str">
            <v>C212</v>
          </cell>
        </row>
        <row r="149">
          <cell r="F149">
            <v>228</v>
          </cell>
          <cell r="I149" t="str">
            <v>C213</v>
          </cell>
        </row>
        <row r="150">
          <cell r="F150">
            <v>229</v>
          </cell>
          <cell r="I150" t="str">
            <v>C214</v>
          </cell>
        </row>
        <row r="151">
          <cell r="F151">
            <v>230</v>
          </cell>
          <cell r="G151" t="str">
            <v>NodeIn_HPcc_</v>
          </cell>
          <cell r="I151" t="str">
            <v>C215</v>
          </cell>
        </row>
        <row r="152">
          <cell r="F152">
            <v>231</v>
          </cell>
          <cell r="G152" t="str">
            <v>NodeOut_HPcc_</v>
          </cell>
          <cell r="I152" t="str">
            <v>C216</v>
          </cell>
        </row>
        <row r="153">
          <cell r="F153">
            <v>232</v>
          </cell>
          <cell r="I153" t="str">
            <v>C217</v>
          </cell>
        </row>
        <row r="154">
          <cell r="F154">
            <v>233</v>
          </cell>
          <cell r="I154" t="str">
            <v>C218</v>
          </cell>
        </row>
        <row r="155">
          <cell r="F155">
            <v>234</v>
          </cell>
          <cell r="I155" t="str">
            <v>C219</v>
          </cell>
        </row>
        <row r="156">
          <cell r="F156">
            <v>235</v>
          </cell>
          <cell r="I156" t="str">
            <v>C220</v>
          </cell>
        </row>
        <row r="157">
          <cell r="F157">
            <v>236</v>
          </cell>
          <cell r="I157" t="str">
            <v>C221</v>
          </cell>
        </row>
        <row r="158">
          <cell r="F158">
            <v>237</v>
          </cell>
          <cell r="I158" t="str">
            <v>C222</v>
          </cell>
        </row>
        <row r="159">
          <cell r="F159">
            <v>238</v>
          </cell>
          <cell r="I159" t="str">
            <v>C223</v>
          </cell>
        </row>
        <row r="160">
          <cell r="F160">
            <v>239</v>
          </cell>
          <cell r="I160" t="str">
            <v>C224</v>
          </cell>
        </row>
        <row r="161">
          <cell r="F161">
            <v>240</v>
          </cell>
          <cell r="G161" t="str">
            <v>NodeIn_HPhc_</v>
          </cell>
          <cell r="I161" t="str">
            <v>C225</v>
          </cell>
        </row>
        <row r="162">
          <cell r="F162">
            <v>241</v>
          </cell>
          <cell r="G162" t="str">
            <v>NodeOut_HPhc_</v>
          </cell>
          <cell r="I162" t="str">
            <v>C226</v>
          </cell>
        </row>
        <row r="163">
          <cell r="F163">
            <v>242</v>
          </cell>
          <cell r="I163" t="str">
            <v>C227</v>
          </cell>
        </row>
        <row r="164">
          <cell r="F164">
            <v>243</v>
          </cell>
          <cell r="I164" t="str">
            <v>C228</v>
          </cell>
        </row>
        <row r="165">
          <cell r="F165">
            <v>244</v>
          </cell>
          <cell r="I165" t="str">
            <v>C229</v>
          </cell>
        </row>
        <row r="166">
          <cell r="F166">
            <v>245</v>
          </cell>
          <cell r="I166" t="str">
            <v>C230</v>
          </cell>
        </row>
        <row r="167">
          <cell r="F167">
            <v>246</v>
          </cell>
          <cell r="I167" t="str">
            <v>C231</v>
          </cell>
        </row>
        <row r="168">
          <cell r="F168">
            <v>247</v>
          </cell>
          <cell r="I168" t="str">
            <v>C232</v>
          </cell>
        </row>
        <row r="169">
          <cell r="F169">
            <v>248</v>
          </cell>
          <cell r="I169" t="str">
            <v>C233</v>
          </cell>
        </row>
        <row r="170">
          <cell r="F170">
            <v>249</v>
          </cell>
          <cell r="I170" t="str">
            <v>C234</v>
          </cell>
        </row>
        <row r="171">
          <cell r="F171">
            <v>250</v>
          </cell>
          <cell r="I171" t="str">
            <v>C235</v>
          </cell>
        </row>
        <row r="172">
          <cell r="F172">
            <v>260</v>
          </cell>
          <cell r="G172" t="str">
            <v>NodeIn_CondWtrDemand Bypass</v>
          </cell>
          <cell r="I172" t="str">
            <v>C236</v>
          </cell>
        </row>
        <row r="173">
          <cell r="F173">
            <v>261</v>
          </cell>
          <cell r="G173" t="str">
            <v>NodeOut_CondWtrDemand Bypass</v>
          </cell>
          <cell r="I173" t="str">
            <v>C237</v>
          </cell>
        </row>
        <row r="174">
          <cell r="F174">
            <v>262</v>
          </cell>
          <cell r="I174" t="str">
            <v>C238</v>
          </cell>
        </row>
        <row r="175">
          <cell r="F175">
            <v>263</v>
          </cell>
          <cell r="I175" t="str">
            <v>C239</v>
          </cell>
        </row>
        <row r="176">
          <cell r="F176">
            <v>264</v>
          </cell>
          <cell r="I176" t="str">
            <v>C240</v>
          </cell>
        </row>
        <row r="177">
          <cell r="F177">
            <v>265</v>
          </cell>
          <cell r="I177" t="str">
            <v>C241</v>
          </cell>
        </row>
        <row r="178">
          <cell r="F178">
            <v>270</v>
          </cell>
          <cell r="G178" t="str">
            <v>NodeIn_CondWtrDemand Outlet</v>
          </cell>
          <cell r="I178" t="str">
            <v>C242</v>
          </cell>
        </row>
        <row r="179">
          <cell r="F179">
            <v>271</v>
          </cell>
          <cell r="G179" t="str">
            <v>NodeOut_CondWtrDemand Outlet</v>
          </cell>
          <cell r="I179" t="str">
            <v>C243</v>
          </cell>
        </row>
        <row r="180">
          <cell r="F180">
            <v>272</v>
          </cell>
          <cell r="I180" t="str">
            <v>C244</v>
          </cell>
        </row>
        <row r="181">
          <cell r="F181">
            <v>273</v>
          </cell>
          <cell r="I181" t="str">
            <v>C245</v>
          </cell>
        </row>
        <row r="182">
          <cell r="F182">
            <v>500</v>
          </cell>
          <cell r="G182" t="str">
            <v>NodeIn_HtgWtr SupplyInlet</v>
          </cell>
          <cell r="I182" t="str">
            <v>C246</v>
          </cell>
        </row>
        <row r="183">
          <cell r="F183">
            <v>501</v>
          </cell>
          <cell r="G183" t="str">
            <v>NodeOut_HtgPump1</v>
          </cell>
          <cell r="I183" t="str">
            <v>C247</v>
          </cell>
        </row>
        <row r="184">
          <cell r="F184">
            <v>502</v>
          </cell>
          <cell r="G184" t="str">
            <v>NodeOut_HtgWtr SupplyInlet</v>
          </cell>
          <cell r="I184" t="str">
            <v>C248</v>
          </cell>
        </row>
        <row r="185">
          <cell r="F185">
            <v>503</v>
          </cell>
          <cell r="G185" t="str">
            <v>Not Used</v>
          </cell>
          <cell r="I185" t="str">
            <v>C249</v>
          </cell>
        </row>
        <row r="186">
          <cell r="F186">
            <v>505</v>
          </cell>
          <cell r="G186" t="str">
            <v>NodeIn_HtgPump1</v>
          </cell>
          <cell r="I186" t="str">
            <v>C280</v>
          </cell>
        </row>
        <row r="187">
          <cell r="F187">
            <v>506</v>
          </cell>
          <cell r="G187" t="str">
            <v>NodeIn_Blr1</v>
          </cell>
          <cell r="I187" t="str">
            <v>C281</v>
          </cell>
          <cell r="J187" t="str">
            <v>PurchHotWtr_System_1</v>
          </cell>
        </row>
        <row r="188">
          <cell r="F188">
            <v>507</v>
          </cell>
          <cell r="G188" t="str">
            <v>NodeOut_Blr1</v>
          </cell>
          <cell r="I188" t="str">
            <v>C282</v>
          </cell>
          <cell r="J188" t="str">
            <v>PurchHotWtr_System_2</v>
          </cell>
        </row>
        <row r="189">
          <cell r="F189">
            <v>508</v>
          </cell>
          <cell r="G189" t="str">
            <v>NodeIn_HtgPump2</v>
          </cell>
          <cell r="I189" t="str">
            <v>C283</v>
          </cell>
        </row>
        <row r="190">
          <cell r="F190">
            <v>509</v>
          </cell>
          <cell r="G190" t="str">
            <v>NodeIn_Blr2</v>
          </cell>
          <cell r="I190" t="str">
            <v>C284</v>
          </cell>
        </row>
        <row r="191">
          <cell r="F191">
            <v>510</v>
          </cell>
          <cell r="G191" t="str">
            <v>NodeOut_Blr2</v>
          </cell>
          <cell r="I191" t="str">
            <v>C285</v>
          </cell>
        </row>
        <row r="192">
          <cell r="F192">
            <v>511</v>
          </cell>
          <cell r="G192" t="str">
            <v>NodeIn_HtgPump3</v>
          </cell>
          <cell r="I192" t="str">
            <v>C286</v>
          </cell>
        </row>
        <row r="193">
          <cell r="F193">
            <v>512</v>
          </cell>
          <cell r="G193" t="str">
            <v>NodeIn_Blr3</v>
          </cell>
          <cell r="I193" t="str">
            <v>C287</v>
          </cell>
        </row>
        <row r="194">
          <cell r="F194">
            <v>513</v>
          </cell>
          <cell r="G194" t="str">
            <v>NodeOut_Blr3</v>
          </cell>
          <cell r="I194" t="str">
            <v>C288</v>
          </cell>
        </row>
        <row r="195">
          <cell r="F195">
            <v>514</v>
          </cell>
          <cell r="G195" t="str">
            <v>NodeIn_HtgPump4</v>
          </cell>
          <cell r="I195" t="str">
            <v>C300</v>
          </cell>
          <cell r="J195" t="str">
            <v>Branch_Air_</v>
          </cell>
        </row>
        <row r="196">
          <cell r="F196">
            <v>515</v>
          </cell>
          <cell r="G196" t="str">
            <v>NodeIn_Blr4</v>
          </cell>
          <cell r="I196" t="str">
            <v>C301</v>
          </cell>
          <cell r="J196" t="str">
            <v>SFan_</v>
          </cell>
        </row>
        <row r="197">
          <cell r="F197">
            <v>516</v>
          </cell>
          <cell r="G197" t="str">
            <v>NodeOut_Blr4</v>
          </cell>
          <cell r="I197" t="str">
            <v>C302</v>
          </cell>
          <cell r="J197" t="str">
            <v>AirLoop_</v>
          </cell>
        </row>
        <row r="198">
          <cell r="F198">
            <v>517</v>
          </cell>
          <cell r="I198" t="str">
            <v>C303</v>
          </cell>
          <cell r="J198" t="str">
            <v>OASystem_</v>
          </cell>
        </row>
        <row r="199">
          <cell r="F199">
            <v>518</v>
          </cell>
          <cell r="I199" t="str">
            <v>C304</v>
          </cell>
          <cell r="J199" t="str">
            <v>MixBox_OA_</v>
          </cell>
        </row>
        <row r="200">
          <cell r="F200">
            <v>519</v>
          </cell>
          <cell r="I200" t="str">
            <v>C305</v>
          </cell>
          <cell r="J200" t="str">
            <v>SupplyPath_</v>
          </cell>
        </row>
        <row r="201">
          <cell r="F201">
            <v>520</v>
          </cell>
          <cell r="G201" t="str">
            <v>NodeIn_HtgWtrSupply Bypass</v>
          </cell>
          <cell r="I201" t="str">
            <v>C306</v>
          </cell>
          <cell r="J201" t="str">
            <v>Splitter_DemandAir_</v>
          </cell>
        </row>
        <row r="202">
          <cell r="F202">
            <v>521</v>
          </cell>
          <cell r="G202" t="str">
            <v>NodeOut_HtgWtrSupply Bypass</v>
          </cell>
          <cell r="I202" t="str">
            <v>C307</v>
          </cell>
          <cell r="J202" t="str">
            <v>TStat_Zone1_</v>
          </cell>
        </row>
        <row r="203">
          <cell r="F203">
            <v>522</v>
          </cell>
          <cell r="G203" t="str">
            <v>NodeIn_HtgWtrSupply Outlet</v>
          </cell>
          <cell r="I203" t="str">
            <v>C308</v>
          </cell>
          <cell r="J203" t="str">
            <v>DualSP_Zone1_</v>
          </cell>
        </row>
        <row r="204">
          <cell r="F204">
            <v>523</v>
          </cell>
          <cell r="G204" t="str">
            <v>NodeOut_HtgWtrSupply Outlet</v>
          </cell>
          <cell r="I204" t="str">
            <v>C309</v>
          </cell>
          <cell r="J204" t="str">
            <v>Zone1_</v>
          </cell>
        </row>
        <row r="205">
          <cell r="F205">
            <v>524</v>
          </cell>
          <cell r="I205" t="str">
            <v>C310</v>
          </cell>
          <cell r="J205" t="str">
            <v>ZoneEqLIST_</v>
          </cell>
        </row>
        <row r="206">
          <cell r="F206">
            <v>525</v>
          </cell>
          <cell r="G206" t="str">
            <v>NodeIn_HtgWtrDemandInlet</v>
          </cell>
          <cell r="I206" t="str">
            <v>C311</v>
          </cell>
          <cell r="J206" t="str">
            <v>DirAir_Zone1_</v>
          </cell>
        </row>
        <row r="207">
          <cell r="F207">
            <v>526</v>
          </cell>
          <cell r="G207" t="str">
            <v>NodeOut_HtgDistPump</v>
          </cell>
          <cell r="I207" t="str">
            <v>C312</v>
          </cell>
          <cell r="J207" t="str">
            <v>ReturnPath_</v>
          </cell>
        </row>
        <row r="208">
          <cell r="F208">
            <v>527</v>
          </cell>
          <cell r="G208" t="str">
            <v>NodeOut_HtgWtrDemandInlet</v>
          </cell>
          <cell r="I208" t="str">
            <v>C313</v>
          </cell>
          <cell r="J208" t="str">
            <v>Mixer_ReturnAir_</v>
          </cell>
        </row>
        <row r="209">
          <cell r="F209">
            <v>528</v>
          </cell>
          <cell r="I209" t="str">
            <v>C314</v>
          </cell>
          <cell r="J209" t="str">
            <v>HtgSetpt w SB</v>
          </cell>
        </row>
        <row r="210">
          <cell r="F210">
            <v>529</v>
          </cell>
          <cell r="I210" t="str">
            <v>C315</v>
          </cell>
          <cell r="J210" t="str">
            <v>ClgSetpt w SB</v>
          </cell>
        </row>
        <row r="211">
          <cell r="F211">
            <v>530</v>
          </cell>
          <cell r="G211" t="str">
            <v>NodeIn_HHWcoil_</v>
          </cell>
          <cell r="I211" t="str">
            <v>C316</v>
          </cell>
          <cell r="J211" t="str">
            <v>AvMgrSch_</v>
          </cell>
        </row>
        <row r="212">
          <cell r="F212">
            <v>531</v>
          </cell>
          <cell r="G212" t="str">
            <v>NodeOut_HHWcoil_</v>
          </cell>
          <cell r="I212" t="str">
            <v>C317</v>
          </cell>
          <cell r="J212" t="str">
            <v>AvMgrSch_OA_</v>
          </cell>
        </row>
        <row r="213">
          <cell r="F213">
            <v>532</v>
          </cell>
          <cell r="I213" t="str">
            <v>C318</v>
          </cell>
          <cell r="J213" t="str">
            <v>OAController_</v>
          </cell>
        </row>
        <row r="214">
          <cell r="F214">
            <v>533</v>
          </cell>
          <cell r="I214" t="str">
            <v>C319</v>
          </cell>
          <cell r="J214" t="str">
            <v>AirLpEqLIST_OA_</v>
          </cell>
        </row>
        <row r="215">
          <cell r="F215">
            <v>534</v>
          </cell>
          <cell r="G215" t="str">
            <v>NodeIn_FanCoil_</v>
          </cell>
          <cell r="I215" t="str">
            <v>C320</v>
          </cell>
          <cell r="J215" t="str">
            <v>CtrlrLIST_OA_</v>
          </cell>
        </row>
        <row r="216">
          <cell r="F216">
            <v>535</v>
          </cell>
          <cell r="G216" t="str">
            <v>NodeOut_FanCoil_</v>
          </cell>
          <cell r="I216" t="str">
            <v>C321</v>
          </cell>
          <cell r="J216" t="str">
            <v>BrLIST_AirLoop_</v>
          </cell>
        </row>
        <row r="217">
          <cell r="F217">
            <v>536</v>
          </cell>
          <cell r="I217" t="str">
            <v>C322</v>
          </cell>
          <cell r="J217" t="str">
            <v>AvMgrLIST_</v>
          </cell>
        </row>
        <row r="218">
          <cell r="F218">
            <v>537</v>
          </cell>
          <cell r="I218" t="str">
            <v>C323</v>
          </cell>
          <cell r="J218" t="str">
            <v>AvMgrLIST_OA_</v>
          </cell>
        </row>
        <row r="219">
          <cell r="F219">
            <v>538</v>
          </cell>
          <cell r="G219" t="str">
            <v>NodeIn_WHsrc_</v>
          </cell>
          <cell r="I219" t="str">
            <v>C324</v>
          </cell>
          <cell r="J219" t="str">
            <v>SPMgr_OA_</v>
          </cell>
        </row>
        <row r="220">
          <cell r="F220">
            <v>539</v>
          </cell>
          <cell r="G220" t="str">
            <v>NodeOut_WHSrc_</v>
          </cell>
          <cell r="I220" t="str">
            <v>C325</v>
          </cell>
          <cell r="J220" t="str">
            <v>SPMgr_MixAir_</v>
          </cell>
        </row>
        <row r="221">
          <cell r="F221">
            <v>540</v>
          </cell>
          <cell r="G221" t="str">
            <v>NodeIn_RhtWtr_</v>
          </cell>
          <cell r="I221" t="str">
            <v>C326</v>
          </cell>
          <cell r="J221" t="str">
            <v>SPMgr_DischAir_</v>
          </cell>
        </row>
        <row r="222">
          <cell r="F222">
            <v>541</v>
          </cell>
          <cell r="G222" t="str">
            <v>NodeOut_RhtWtr_</v>
          </cell>
          <cell r="I222" t="str">
            <v>C327</v>
          </cell>
          <cell r="J222" t="str">
            <v>AvMgr_</v>
          </cell>
        </row>
        <row r="223">
          <cell r="F223">
            <v>542</v>
          </cell>
          <cell r="I223" t="str">
            <v>C328</v>
          </cell>
          <cell r="J223" t="str">
            <v>SPMgr_Reheat_</v>
          </cell>
        </row>
        <row r="224">
          <cell r="F224">
            <v>543</v>
          </cell>
          <cell r="I224" t="str">
            <v>C329</v>
          </cell>
          <cell r="J224" t="str">
            <v>SPMgr_Sched_</v>
          </cell>
        </row>
        <row r="225">
          <cell r="F225">
            <v>544</v>
          </cell>
          <cell r="I225" t="str">
            <v>C330</v>
          </cell>
          <cell r="J225" t="str">
            <v>AvMgrNtCycle_</v>
          </cell>
        </row>
        <row r="226">
          <cell r="F226">
            <v>545</v>
          </cell>
          <cell r="I226" t="str">
            <v>C331</v>
          </cell>
          <cell r="J226" t="str">
            <v>SPMgr_Clg_</v>
          </cell>
        </row>
        <row r="227">
          <cell r="F227">
            <v>546</v>
          </cell>
          <cell r="I227" t="str">
            <v>C332</v>
          </cell>
          <cell r="J227" t="str">
            <v>SPMgr_Htg_</v>
          </cell>
        </row>
        <row r="228">
          <cell r="F228">
            <v>547</v>
          </cell>
          <cell r="I228" t="str">
            <v>C333</v>
          </cell>
          <cell r="J228" t="str">
            <v>AirLoop_UnitCool1_</v>
          </cell>
        </row>
        <row r="229">
          <cell r="F229">
            <v>550</v>
          </cell>
          <cell r="G229" t="str">
            <v>NodeIn_BaseBdWtr_</v>
          </cell>
          <cell r="I229" t="str">
            <v>C334</v>
          </cell>
          <cell r="J229" t="str">
            <v>SPMgr_HMX_</v>
          </cell>
        </row>
        <row r="230">
          <cell r="F230">
            <v>551</v>
          </cell>
          <cell r="G230" t="str">
            <v>NodeOut_BaseBdWtr_</v>
          </cell>
          <cell r="I230" t="str">
            <v>C335</v>
          </cell>
          <cell r="J230" t="str">
            <v>SPMgr_ZoneRH_</v>
          </cell>
        </row>
        <row r="231">
          <cell r="F231">
            <v>552</v>
          </cell>
          <cell r="I231" t="str">
            <v>C336</v>
          </cell>
        </row>
        <row r="232">
          <cell r="F232">
            <v>560</v>
          </cell>
          <cell r="G232" t="str">
            <v>NodeIn_HtgWtr Demand Bypass</v>
          </cell>
          <cell r="I232" t="str">
            <v>C337</v>
          </cell>
          <cell r="J232" t="str">
            <v>HX_OA_</v>
          </cell>
        </row>
        <row r="233">
          <cell r="F233">
            <v>561</v>
          </cell>
          <cell r="G233" t="str">
            <v>NodeOut_HtgWtr Demand Bypass</v>
          </cell>
          <cell r="I233" t="str">
            <v>C338</v>
          </cell>
          <cell r="J233" t="str">
            <v>AirLoop_UnitCool2_</v>
          </cell>
        </row>
        <row r="234">
          <cell r="F234">
            <v>562</v>
          </cell>
          <cell r="I234" t="str">
            <v>C339</v>
          </cell>
        </row>
        <row r="235">
          <cell r="F235">
            <v>570</v>
          </cell>
          <cell r="G235" t="str">
            <v>NodeIn_HtgWtrDemand Outlet</v>
          </cell>
          <cell r="I235" t="str">
            <v>C340</v>
          </cell>
          <cell r="J235" t="str">
            <v>ZoneSupplyPath_</v>
          </cell>
        </row>
        <row r="236">
          <cell r="F236">
            <v>571</v>
          </cell>
          <cell r="G236" t="str">
            <v>NodeOut_HtgWtrDemand Outlet</v>
          </cell>
          <cell r="I236" t="str">
            <v>C341</v>
          </cell>
          <cell r="J236" t="str">
            <v>ZoneReturnPath_</v>
          </cell>
        </row>
        <row r="237">
          <cell r="F237">
            <v>572</v>
          </cell>
          <cell r="I237" t="str">
            <v>C342</v>
          </cell>
          <cell r="J237" t="str">
            <v>Splitter_ZoneAir_</v>
          </cell>
        </row>
        <row r="238">
          <cell r="F238">
            <v>573</v>
          </cell>
          <cell r="I238" t="str">
            <v>C343</v>
          </cell>
          <cell r="J238" t="str">
            <v>Mixer_ZoneAir_</v>
          </cell>
        </row>
        <row r="239">
          <cell r="F239">
            <v>574</v>
          </cell>
          <cell r="G239" t="str">
            <v>NodeIn_WHuse_</v>
          </cell>
          <cell r="I239" t="str">
            <v>C344</v>
          </cell>
        </row>
        <row r="240">
          <cell r="F240">
            <v>575</v>
          </cell>
          <cell r="G240" t="str">
            <v>NodeOut_WHuse_</v>
          </cell>
          <cell r="I240" t="str">
            <v>C345</v>
          </cell>
          <cell r="J240" t="str">
            <v>SPMgr_DischAir2</v>
          </cell>
        </row>
        <row r="241">
          <cell r="F241">
            <v>576</v>
          </cell>
          <cell r="I241" t="str">
            <v>C346</v>
          </cell>
          <cell r="J241" t="str">
            <v>SPMgr_DischAir3</v>
          </cell>
        </row>
        <row r="242">
          <cell r="F242">
            <v>577</v>
          </cell>
          <cell r="I242" t="str">
            <v>C347</v>
          </cell>
        </row>
        <row r="243">
          <cell r="F243">
            <v>578</v>
          </cell>
          <cell r="I243" t="str">
            <v>C348</v>
          </cell>
          <cell r="J243" t="str">
            <v>SPMgr_SuppHtg_</v>
          </cell>
        </row>
        <row r="244">
          <cell r="F244">
            <v>579</v>
          </cell>
          <cell r="I244" t="str">
            <v>C349</v>
          </cell>
        </row>
        <row r="245">
          <cell r="F245">
            <v>580</v>
          </cell>
          <cell r="I245" t="str">
            <v>C400</v>
          </cell>
          <cell r="J245" t="str">
            <v>BrLIST_HtgWtr Supply</v>
          </cell>
        </row>
        <row r="246">
          <cell r="F246">
            <v>581</v>
          </cell>
          <cell r="I246" t="str">
            <v>C401</v>
          </cell>
          <cell r="J246" t="str">
            <v>Branch_HtgWtr Supply Inlet</v>
          </cell>
        </row>
        <row r="247">
          <cell r="F247">
            <v>600</v>
          </cell>
          <cell r="G247" t="str">
            <v>NodeIn_HXSupplyInlet</v>
          </cell>
          <cell r="I247" t="str">
            <v>C402</v>
          </cell>
          <cell r="J247" t="str">
            <v>Branch_HtgWtr Supply Boiler1</v>
          </cell>
        </row>
        <row r="248">
          <cell r="F248">
            <v>601</v>
          </cell>
          <cell r="G248" t="str">
            <v>NodeOut_HXPump1</v>
          </cell>
          <cell r="I248" t="str">
            <v>C403</v>
          </cell>
          <cell r="J248" t="str">
            <v>Branch_HtgWtr Supply Boiler2</v>
          </cell>
        </row>
        <row r="249">
          <cell r="F249">
            <v>602</v>
          </cell>
          <cell r="G249" t="str">
            <v>NodeOut_HXSupplyInlet</v>
          </cell>
          <cell r="I249" t="str">
            <v>C404</v>
          </cell>
          <cell r="J249" t="str">
            <v>Branch_HtgWtr SupplyBypass</v>
          </cell>
        </row>
        <row r="250">
          <cell r="F250">
            <v>603</v>
          </cell>
          <cell r="G250" t="str">
            <v>Not Used</v>
          </cell>
          <cell r="I250" t="str">
            <v>C405</v>
          </cell>
          <cell r="J250" t="str">
            <v>Branch_HtgWtr SupplyOutlet</v>
          </cell>
        </row>
        <row r="251">
          <cell r="F251">
            <v>605</v>
          </cell>
          <cell r="G251" t="str">
            <v>NodeIn_Pump1</v>
          </cell>
          <cell r="I251" t="str">
            <v>C406</v>
          </cell>
        </row>
        <row r="252">
          <cell r="F252">
            <v>606</v>
          </cell>
          <cell r="G252" t="str">
            <v>NodeIn_HX1</v>
          </cell>
          <cell r="I252" t="str">
            <v>C407</v>
          </cell>
        </row>
        <row r="253">
          <cell r="F253">
            <v>607</v>
          </cell>
          <cell r="G253" t="str">
            <v>NodeOut_HX1</v>
          </cell>
          <cell r="I253" t="str">
            <v>C408</v>
          </cell>
        </row>
        <row r="254">
          <cell r="F254">
            <v>608</v>
          </cell>
          <cell r="G254" t="str">
            <v>NodeIn_Pump2</v>
          </cell>
          <cell r="I254" t="str">
            <v>C409</v>
          </cell>
        </row>
        <row r="255">
          <cell r="F255">
            <v>609</v>
          </cell>
          <cell r="G255" t="str">
            <v>NodeIn_HX2</v>
          </cell>
          <cell r="I255" t="str">
            <v>C410</v>
          </cell>
          <cell r="J255" t="str">
            <v>ConnLIST_HtgWtr Supply</v>
          </cell>
        </row>
        <row r="256">
          <cell r="F256">
            <v>610</v>
          </cell>
          <cell r="G256" t="str">
            <v>NodeOut_HX2</v>
          </cell>
          <cell r="I256" t="str">
            <v>C411</v>
          </cell>
          <cell r="J256" t="str">
            <v>Splitter_HtgWtr Supply</v>
          </cell>
        </row>
        <row r="257">
          <cell r="F257">
            <v>611</v>
          </cell>
          <cell r="G257" t="str">
            <v>Not Used</v>
          </cell>
          <cell r="I257" t="str">
            <v>C412</v>
          </cell>
          <cell r="J257" t="str">
            <v>Mixer_HtgWtr Supply</v>
          </cell>
        </row>
        <row r="258">
          <cell r="F258">
            <v>620</v>
          </cell>
          <cell r="G258" t="str">
            <v>NodeIn_HXSupply Bypass</v>
          </cell>
          <cell r="I258" t="str">
            <v>C413</v>
          </cell>
        </row>
        <row r="259">
          <cell r="F259">
            <v>621</v>
          </cell>
          <cell r="G259" t="str">
            <v>NodeOut_HXSupply Bypass</v>
          </cell>
          <cell r="I259" t="str">
            <v>C414</v>
          </cell>
        </row>
        <row r="260">
          <cell r="F260">
            <v>622</v>
          </cell>
          <cell r="G260" t="str">
            <v>NodeIn_HXSupply Outlet</v>
          </cell>
          <cell r="I260" t="str">
            <v>C415</v>
          </cell>
          <cell r="J260" t="str">
            <v>ConnLIST_HtgWtr Demand</v>
          </cell>
        </row>
        <row r="261">
          <cell r="F261">
            <v>623</v>
          </cell>
          <cell r="G261" t="str">
            <v>NodeOut_HXSupply Outlet</v>
          </cell>
          <cell r="I261" t="str">
            <v>C416</v>
          </cell>
          <cell r="J261" t="str">
            <v>Splitter_HtgWtr Demand</v>
          </cell>
        </row>
        <row r="262">
          <cell r="F262">
            <v>624</v>
          </cell>
          <cell r="G262" t="str">
            <v>Not Used</v>
          </cell>
          <cell r="I262" t="str">
            <v>C417</v>
          </cell>
          <cell r="J262" t="str">
            <v>Mixer_HtgWtr Demand</v>
          </cell>
        </row>
        <row r="263">
          <cell r="F263">
            <v>625</v>
          </cell>
          <cell r="G263" t="str">
            <v>NodeIn_HXDemandInlet</v>
          </cell>
          <cell r="I263" t="str">
            <v>C418</v>
          </cell>
        </row>
        <row r="264">
          <cell r="F264">
            <v>626</v>
          </cell>
          <cell r="G264" t="str">
            <v>NodeOut_HXDistPump</v>
          </cell>
          <cell r="I264" t="str">
            <v>C419</v>
          </cell>
          <cell r="J264" t="str">
            <v>BrLIST_HtgWtr Demand</v>
          </cell>
        </row>
        <row r="265">
          <cell r="F265">
            <v>627</v>
          </cell>
          <cell r="G265" t="str">
            <v>NodeOut_HXDemandInlet</v>
          </cell>
          <cell r="I265" t="str">
            <v>C420</v>
          </cell>
          <cell r="J265" t="str">
            <v>Branch_HtgWtr Demand Inlet</v>
          </cell>
        </row>
        <row r="266">
          <cell r="F266">
            <v>630</v>
          </cell>
          <cell r="G266" t="str">
            <v>NodeIn_HXload_</v>
          </cell>
          <cell r="I266" t="str">
            <v>C421</v>
          </cell>
          <cell r="J266" t="str">
            <v>Branch_HHWcoil_</v>
          </cell>
        </row>
        <row r="267">
          <cell r="F267">
            <v>631</v>
          </cell>
          <cell r="G267" t="str">
            <v>NodeoOut_HXload_</v>
          </cell>
          <cell r="I267" t="str">
            <v>C422</v>
          </cell>
        </row>
        <row r="268">
          <cell r="F268">
            <v>660</v>
          </cell>
          <cell r="G268" t="str">
            <v>NodeIn_HXDemandBypass</v>
          </cell>
          <cell r="I268" t="str">
            <v>C423</v>
          </cell>
        </row>
        <row r="269">
          <cell r="F269">
            <v>661</v>
          </cell>
          <cell r="G269" t="str">
            <v>NodeOut_HXDemandBypass</v>
          </cell>
          <cell r="I269" t="str">
            <v>C424</v>
          </cell>
        </row>
        <row r="270">
          <cell r="F270">
            <v>662</v>
          </cell>
          <cell r="G270" t="str">
            <v>Not Used</v>
          </cell>
          <cell r="I270" t="str">
            <v>C425</v>
          </cell>
          <cell r="J270" t="str">
            <v>Branch_HtgWtr DemandBypass</v>
          </cell>
        </row>
        <row r="271">
          <cell r="F271">
            <v>663</v>
          </cell>
          <cell r="G271" t="str">
            <v>Not Used</v>
          </cell>
          <cell r="I271" t="str">
            <v>C426</v>
          </cell>
          <cell r="J271" t="str">
            <v>Branch_HtgWtr DemandOutlet</v>
          </cell>
        </row>
        <row r="272">
          <cell r="F272">
            <v>664</v>
          </cell>
          <cell r="G272" t="str">
            <v>Not Used</v>
          </cell>
          <cell r="I272" t="str">
            <v>C427</v>
          </cell>
        </row>
        <row r="273">
          <cell r="F273">
            <v>670</v>
          </cell>
          <cell r="G273" t="str">
            <v>NodeIn_HXDemandOutlet</v>
          </cell>
          <cell r="I273" t="str">
            <v>C428</v>
          </cell>
        </row>
        <row r="274">
          <cell r="F274">
            <v>671</v>
          </cell>
          <cell r="G274" t="str">
            <v>NodeOut_HXDemandOutlet</v>
          </cell>
          <cell r="I274" t="str">
            <v>C429</v>
          </cell>
        </row>
        <row r="275">
          <cell r="F275">
            <v>672</v>
          </cell>
          <cell r="G275" t="str">
            <v>Not Used</v>
          </cell>
          <cell r="I275" t="str">
            <v>C430</v>
          </cell>
        </row>
        <row r="276">
          <cell r="F276">
            <v>673</v>
          </cell>
          <cell r="G276" t="str">
            <v>Not Used</v>
          </cell>
          <cell r="I276" t="str">
            <v>C431</v>
          </cell>
        </row>
        <row r="277">
          <cell r="F277">
            <v>674</v>
          </cell>
          <cell r="G277" t="str">
            <v>Not Used</v>
          </cell>
          <cell r="I277" t="str">
            <v>C432</v>
          </cell>
        </row>
        <row r="278">
          <cell r="F278">
            <v>675</v>
          </cell>
          <cell r="G278" t="str">
            <v>Not Used</v>
          </cell>
          <cell r="I278" t="str">
            <v>C433</v>
          </cell>
          <cell r="J278" t="str">
            <v>Splitter_MixerAir_</v>
          </cell>
        </row>
        <row r="279">
          <cell r="F279">
            <v>676</v>
          </cell>
          <cell r="G279" t="str">
            <v>Not Used</v>
          </cell>
          <cell r="I279" t="str">
            <v>C434</v>
          </cell>
          <cell r="J279" t="str">
            <v>ConnList_MixerAir_</v>
          </cell>
        </row>
        <row r="280">
          <cell r="F280">
            <v>800</v>
          </cell>
          <cell r="G280" t="str">
            <v>NodeIn_RA_</v>
          </cell>
          <cell r="I280" t="str">
            <v>C435</v>
          </cell>
          <cell r="J280" t="str">
            <v>Branch_OAMixer_</v>
          </cell>
        </row>
        <row r="281">
          <cell r="F281">
            <v>801</v>
          </cell>
          <cell r="G281" t="str">
            <v>NodeOut_RFan_</v>
          </cell>
          <cell r="I281" t="str">
            <v>C436</v>
          </cell>
          <cell r="J281" t="str">
            <v>Branch_Duct_</v>
          </cell>
        </row>
        <row r="282">
          <cell r="F282">
            <v>802</v>
          </cell>
          <cell r="G282" t="str">
            <v>NodeOut_EA_</v>
          </cell>
          <cell r="I282" t="str">
            <v>C437</v>
          </cell>
        </row>
        <row r="283">
          <cell r="F283">
            <v>803</v>
          </cell>
          <cell r="G283" t="str">
            <v>NodeOut_EFan_</v>
          </cell>
          <cell r="I283" t="str">
            <v>C438</v>
          </cell>
        </row>
        <row r="284">
          <cell r="F284">
            <v>804</v>
          </cell>
          <cell r="G284" t="str">
            <v>NodeIn_OA_</v>
          </cell>
          <cell r="I284" t="str">
            <v>C439</v>
          </cell>
        </row>
        <row r="285">
          <cell r="F285">
            <v>805</v>
          </cell>
          <cell r="G285" t="str">
            <v>NodeOut_MA_</v>
          </cell>
          <cell r="I285" t="str">
            <v>C440</v>
          </cell>
          <cell r="J285" t="str">
            <v>ConnLIST_HtgWtr Demand</v>
          </cell>
        </row>
        <row r="286">
          <cell r="F286">
            <v>806</v>
          </cell>
          <cell r="G286" t="str">
            <v>NodeOut_SFan_</v>
          </cell>
          <cell r="I286" t="str">
            <v>C441</v>
          </cell>
          <cell r="J286" t="str">
            <v>Splitter_HtgWtr Demand</v>
          </cell>
        </row>
        <row r="287">
          <cell r="F287">
            <v>807</v>
          </cell>
          <cell r="G287" t="str">
            <v>NodeOut_ClgCoilAir_</v>
          </cell>
          <cell r="I287" t="str">
            <v>C442</v>
          </cell>
          <cell r="J287" t="str">
            <v>Mixer_HtgWtr Demand</v>
          </cell>
        </row>
        <row r="288">
          <cell r="F288">
            <v>808</v>
          </cell>
          <cell r="G288" t="str">
            <v>Not Used</v>
          </cell>
          <cell r="I288" t="str">
            <v>C443</v>
          </cell>
        </row>
        <row r="289">
          <cell r="F289">
            <v>809</v>
          </cell>
          <cell r="G289" t="str">
            <v>NodeOut_HtgCoilAir_</v>
          </cell>
          <cell r="I289" t="str">
            <v>C444</v>
          </cell>
        </row>
        <row r="290">
          <cell r="F290">
            <v>810</v>
          </cell>
          <cell r="I290" t="str">
            <v>C445</v>
          </cell>
        </row>
        <row r="291">
          <cell r="F291">
            <v>811</v>
          </cell>
          <cell r="I291" t="str">
            <v>C446</v>
          </cell>
        </row>
        <row r="292">
          <cell r="F292">
            <v>812</v>
          </cell>
          <cell r="I292" t="str">
            <v>C447</v>
          </cell>
        </row>
        <row r="293">
          <cell r="F293">
            <v>900</v>
          </cell>
          <cell r="G293" t="str">
            <v>NodeIn_RA_</v>
          </cell>
          <cell r="I293" t="str">
            <v>C448</v>
          </cell>
        </row>
        <row r="294">
          <cell r="F294">
            <v>901</v>
          </cell>
          <cell r="G294" t="str">
            <v>NodeOut_RFan_</v>
          </cell>
          <cell r="I294" t="str">
            <v>C449</v>
          </cell>
        </row>
        <row r="295">
          <cell r="F295">
            <v>902</v>
          </cell>
          <cell r="G295" t="str">
            <v>NodeOut_EA_</v>
          </cell>
          <cell r="I295" t="str">
            <v>C450</v>
          </cell>
          <cell r="J295" t="str">
            <v>CtrlrLIST_WtrCoils_</v>
          </cell>
        </row>
        <row r="296">
          <cell r="F296">
            <v>903</v>
          </cell>
          <cell r="G296" t="str">
            <v>NodeOut_EFan_</v>
          </cell>
          <cell r="I296" t="str">
            <v>C451</v>
          </cell>
          <cell r="J296" t="str">
            <v>HotWtrController_</v>
          </cell>
        </row>
        <row r="297">
          <cell r="F297">
            <v>904</v>
          </cell>
          <cell r="G297" t="str">
            <v>NodeIn_OA_</v>
          </cell>
          <cell r="I297" t="str">
            <v>C452</v>
          </cell>
          <cell r="J297" t="str">
            <v>ChWtrController_</v>
          </cell>
        </row>
        <row r="298">
          <cell r="F298">
            <v>905</v>
          </cell>
          <cell r="G298" t="str">
            <v>NodeOut_MA_</v>
          </cell>
          <cell r="I298" t="str">
            <v>C453</v>
          </cell>
        </row>
        <row r="299">
          <cell r="F299">
            <v>906</v>
          </cell>
          <cell r="G299" t="str">
            <v>Not Used</v>
          </cell>
          <cell r="I299" t="str">
            <v>C454</v>
          </cell>
        </row>
        <row r="300">
          <cell r="F300">
            <v>907</v>
          </cell>
          <cell r="G300" t="str">
            <v>NodeOut_ClgCoilAir_</v>
          </cell>
          <cell r="I300" t="str">
            <v>C455</v>
          </cell>
        </row>
        <row r="301">
          <cell r="F301">
            <v>908</v>
          </cell>
          <cell r="G301" t="str">
            <v>NodeOut_HtgCoilAir_</v>
          </cell>
          <cell r="I301" t="str">
            <v>C456</v>
          </cell>
        </row>
        <row r="302">
          <cell r="F302">
            <v>909</v>
          </cell>
          <cell r="G302" t="str">
            <v>Not Used</v>
          </cell>
          <cell r="I302" t="str">
            <v>C457</v>
          </cell>
        </row>
        <row r="303">
          <cell r="F303">
            <v>910</v>
          </cell>
          <cell r="G303" t="str">
            <v>NodeOut_Air_</v>
          </cell>
          <cell r="I303" t="str">
            <v>C458</v>
          </cell>
        </row>
        <row r="304">
          <cell r="F304">
            <v>911</v>
          </cell>
          <cell r="I304" t="str">
            <v>C459</v>
          </cell>
        </row>
        <row r="305">
          <cell r="F305">
            <v>912</v>
          </cell>
          <cell r="I305" t="str">
            <v>C460</v>
          </cell>
        </row>
        <row r="306">
          <cell r="F306">
            <v>1000</v>
          </cell>
          <cell r="G306" t="str">
            <v>NodeIn_RA_</v>
          </cell>
          <cell r="I306" t="str">
            <v>C461</v>
          </cell>
        </row>
        <row r="307">
          <cell r="F307">
            <v>1001</v>
          </cell>
          <cell r="G307" t="str">
            <v>NodeOut_RFan_</v>
          </cell>
          <cell r="I307" t="str">
            <v>C462</v>
          </cell>
        </row>
        <row r="308">
          <cell r="F308">
            <v>1002</v>
          </cell>
          <cell r="G308" t="str">
            <v>NodeOut_EA_</v>
          </cell>
          <cell r="I308" t="str">
            <v>C463</v>
          </cell>
        </row>
        <row r="309">
          <cell r="F309">
            <v>1003</v>
          </cell>
          <cell r="G309" t="str">
            <v>Not Used</v>
          </cell>
          <cell r="I309" t="str">
            <v>C500</v>
          </cell>
          <cell r="J309" t="str">
            <v>PltOp_CHW</v>
          </cell>
        </row>
        <row r="310">
          <cell r="F310">
            <v>1004</v>
          </cell>
          <cell r="G310" t="str">
            <v>NodeIn_OA_</v>
          </cell>
          <cell r="I310" t="str">
            <v>C501</v>
          </cell>
          <cell r="J310" t="str">
            <v>CtrlSchm_SummerClgOpern</v>
          </cell>
        </row>
        <row r="311">
          <cell r="F311">
            <v>1005</v>
          </cell>
          <cell r="G311" t="str">
            <v>NodeOut_MA_</v>
          </cell>
          <cell r="I311" t="str">
            <v>C502</v>
          </cell>
          <cell r="J311" t="str">
            <v>CtrlSchm_WinterClgOpern</v>
          </cell>
        </row>
        <row r="312">
          <cell r="F312">
            <v>1006</v>
          </cell>
          <cell r="G312" t="str">
            <v>NodeOut_HMX_</v>
          </cell>
          <cell r="I312" t="str">
            <v>C503</v>
          </cell>
        </row>
        <row r="313">
          <cell r="F313">
            <v>1007</v>
          </cell>
          <cell r="G313" t="str">
            <v>NodeOut_ClgCoilAir_</v>
          </cell>
          <cell r="I313" t="str">
            <v>C504</v>
          </cell>
        </row>
        <row r="314">
          <cell r="F314">
            <v>1008</v>
          </cell>
          <cell r="G314" t="str">
            <v>NodeOut_SFan_</v>
          </cell>
          <cell r="I314" t="str">
            <v>C505</v>
          </cell>
        </row>
        <row r="315">
          <cell r="F315">
            <v>1009</v>
          </cell>
          <cell r="G315" t="str">
            <v>NodeOut_HtgCoilAir_</v>
          </cell>
          <cell r="I315" t="str">
            <v>C506</v>
          </cell>
        </row>
        <row r="316">
          <cell r="F316">
            <v>1010</v>
          </cell>
          <cell r="G316" t="str">
            <v>NodeOut_Air_</v>
          </cell>
          <cell r="I316" t="str">
            <v>C507</v>
          </cell>
        </row>
        <row r="317">
          <cell r="F317">
            <v>1011</v>
          </cell>
          <cell r="G317" t="str">
            <v>NodeIn_PrimaryDuct_</v>
          </cell>
          <cell r="I317" t="str">
            <v>C508</v>
          </cell>
        </row>
        <row r="318">
          <cell r="F318">
            <v>1012</v>
          </cell>
          <cell r="G318" t="str">
            <v>NodeOut_PrimaryDuct_</v>
          </cell>
          <cell r="I318" t="str">
            <v>C509</v>
          </cell>
        </row>
        <row r="319">
          <cell r="F319">
            <v>1013</v>
          </cell>
          <cell r="G319" t="str">
            <v>NodeOut_HMXexh_</v>
          </cell>
          <cell r="I319" t="str">
            <v>C510</v>
          </cell>
          <cell r="J319" t="str">
            <v>PltOp_CondW</v>
          </cell>
        </row>
        <row r="320">
          <cell r="F320">
            <v>1014</v>
          </cell>
          <cell r="G320" t="str">
            <v>NodeOut_CondCoil_</v>
          </cell>
          <cell r="I320" t="str">
            <v>C511</v>
          </cell>
          <cell r="J320" t="str">
            <v>GHX Operation</v>
          </cell>
        </row>
        <row r="321">
          <cell r="F321">
            <v>1015</v>
          </cell>
          <cell r="G321" t="str">
            <v>NodeOut_HMXEFan_</v>
          </cell>
          <cell r="I321" t="str">
            <v>C512</v>
          </cell>
          <cell r="J321" t="str">
            <v>CtrlSchm_GHX</v>
          </cell>
        </row>
        <row r="322">
          <cell r="F322">
            <v>1016</v>
          </cell>
          <cell r="G322" t="str">
            <v>NodeIn_SecyDuct_</v>
          </cell>
          <cell r="I322" t="str">
            <v>C513</v>
          </cell>
        </row>
        <row r="323">
          <cell r="F323">
            <v>1017</v>
          </cell>
          <cell r="G323" t="str">
            <v>NodeOut_SecyDuct_</v>
          </cell>
          <cell r="I323" t="str">
            <v>C514</v>
          </cell>
        </row>
        <row r="324">
          <cell r="F324">
            <v>1018</v>
          </cell>
          <cell r="I324" t="str">
            <v>C515</v>
          </cell>
        </row>
        <row r="325">
          <cell r="F325">
            <v>1100</v>
          </cell>
          <cell r="G325" t="str">
            <v>NodeIn_RA_</v>
          </cell>
          <cell r="I325" t="str">
            <v>C516</v>
          </cell>
        </row>
        <row r="326">
          <cell r="F326">
            <v>1101</v>
          </cell>
          <cell r="G326" t="str">
            <v>NodeOut_RFan_</v>
          </cell>
          <cell r="I326" t="str">
            <v>C517</v>
          </cell>
        </row>
        <row r="327">
          <cell r="F327">
            <v>1102</v>
          </cell>
          <cell r="G327" t="str">
            <v>NodeOut_EA_</v>
          </cell>
          <cell r="I327" t="str">
            <v>C518</v>
          </cell>
        </row>
        <row r="328">
          <cell r="F328">
            <v>1103</v>
          </cell>
          <cell r="G328" t="str">
            <v>NodeOut_EFan_</v>
          </cell>
          <cell r="I328" t="str">
            <v>C519</v>
          </cell>
        </row>
        <row r="329">
          <cell r="F329">
            <v>1104</v>
          </cell>
          <cell r="G329" t="str">
            <v>NodeIn_OA_</v>
          </cell>
          <cell r="I329" t="str">
            <v>C520</v>
          </cell>
          <cell r="J329" t="str">
            <v>PltOp_HHW</v>
          </cell>
        </row>
        <row r="330">
          <cell r="F330">
            <v>1105</v>
          </cell>
          <cell r="G330" t="str">
            <v>NodeOut_MA_</v>
          </cell>
          <cell r="I330" t="str">
            <v>C521</v>
          </cell>
          <cell r="J330" t="str">
            <v>CtrlSchm_SummerHtgOpern</v>
          </cell>
        </row>
        <row r="331">
          <cell r="F331">
            <v>1106</v>
          </cell>
          <cell r="G331" t="str">
            <v>NodeOut_SuppHtgAir_</v>
          </cell>
          <cell r="I331" t="str">
            <v>C522</v>
          </cell>
          <cell r="J331" t="str">
            <v>CtrlSchm_WinterHtgOpern</v>
          </cell>
        </row>
        <row r="332">
          <cell r="F332">
            <v>1107</v>
          </cell>
          <cell r="G332" t="str">
            <v>NodeOut_ClgCoilAir_</v>
          </cell>
          <cell r="I332" t="str">
            <v>C523</v>
          </cell>
        </row>
        <row r="333">
          <cell r="F333">
            <v>1108</v>
          </cell>
          <cell r="G333" t="str">
            <v>NodeOut_HtgCoilAir_</v>
          </cell>
          <cell r="I333" t="str">
            <v>C524</v>
          </cell>
        </row>
        <row r="334">
          <cell r="F334">
            <v>1109</v>
          </cell>
          <cell r="G334" t="str">
            <v>NodeOut_SFan_</v>
          </cell>
          <cell r="I334" t="str">
            <v>C525</v>
          </cell>
        </row>
        <row r="335">
          <cell r="F335">
            <v>1110</v>
          </cell>
          <cell r="G335" t="str">
            <v>NodeOut_Air_</v>
          </cell>
          <cell r="I335" t="str">
            <v>C526</v>
          </cell>
        </row>
        <row r="336">
          <cell r="F336">
            <v>1111</v>
          </cell>
          <cell r="I336" t="str">
            <v>C527</v>
          </cell>
        </row>
        <row r="337">
          <cell r="F337">
            <v>1112</v>
          </cell>
          <cell r="I337" t="str">
            <v>C528</v>
          </cell>
        </row>
        <row r="338">
          <cell r="F338">
            <v>1200</v>
          </cell>
          <cell r="G338" t="str">
            <v>NodeIn_RA_</v>
          </cell>
          <cell r="I338" t="str">
            <v>C529</v>
          </cell>
        </row>
        <row r="339">
          <cell r="F339">
            <v>1201</v>
          </cell>
          <cell r="G339" t="str">
            <v>NodeOut_RF_</v>
          </cell>
          <cell r="I339" t="str">
            <v>C530</v>
          </cell>
          <cell r="J339" t="str">
            <v>VentController_</v>
          </cell>
        </row>
        <row r="340">
          <cell r="F340">
            <v>1202</v>
          </cell>
          <cell r="G340" t="str">
            <v>NodeOut_EA_</v>
          </cell>
          <cell r="I340" t="str">
            <v>C531</v>
          </cell>
          <cell r="J340" t="str">
            <v>ContamControl_</v>
          </cell>
        </row>
        <row r="341">
          <cell r="F341">
            <v>1203</v>
          </cell>
          <cell r="G341" t="str">
            <v>NodeOut_EF_</v>
          </cell>
          <cell r="I341" t="str">
            <v>C532</v>
          </cell>
        </row>
        <row r="342">
          <cell r="F342">
            <v>1204</v>
          </cell>
          <cell r="G342" t="str">
            <v>NodeIn_OA_</v>
          </cell>
          <cell r="I342" t="str">
            <v>C533</v>
          </cell>
        </row>
        <row r="343">
          <cell r="F343">
            <v>1205</v>
          </cell>
          <cell r="G343" t="str">
            <v>NodeOut_MA_</v>
          </cell>
          <cell r="I343" t="str">
            <v>C534</v>
          </cell>
        </row>
        <row r="344">
          <cell r="F344">
            <v>1206</v>
          </cell>
          <cell r="G344" t="str">
            <v>NodeOut_SFbt_</v>
          </cell>
          <cell r="I344" t="str">
            <v>C535</v>
          </cell>
        </row>
        <row r="345">
          <cell r="F345">
            <v>1207</v>
          </cell>
          <cell r="G345" t="str">
            <v>NodeOut_ClgCoilAir_</v>
          </cell>
          <cell r="I345" t="str">
            <v>C536</v>
          </cell>
        </row>
        <row r="346">
          <cell r="F346">
            <v>1208</v>
          </cell>
          <cell r="G346" t="str">
            <v>NodeOut_HtgCoilAir_</v>
          </cell>
          <cell r="I346" t="str">
            <v>C537</v>
          </cell>
        </row>
        <row r="347">
          <cell r="F347">
            <v>1209</v>
          </cell>
          <cell r="G347" t="str">
            <v>NotUsed_</v>
          </cell>
          <cell r="I347" t="str">
            <v>C538</v>
          </cell>
        </row>
        <row r="348">
          <cell r="F348">
            <v>1210</v>
          </cell>
          <cell r="G348" t="str">
            <v>NodeOut_AHU_</v>
          </cell>
          <cell r="I348" t="str">
            <v>C539</v>
          </cell>
        </row>
        <row r="349">
          <cell r="F349">
            <v>1211</v>
          </cell>
          <cell r="G349" t="str">
            <v>NodeOut_HXoa_</v>
          </cell>
          <cell r="I349" t="str">
            <v>C540</v>
          </cell>
        </row>
        <row r="350">
          <cell r="F350">
            <v>1212</v>
          </cell>
          <cell r="G350" t="str">
            <v>NodeOut_HXea_</v>
          </cell>
          <cell r="I350" t="str">
            <v>C541</v>
          </cell>
        </row>
        <row r="351">
          <cell r="F351">
            <v>1213</v>
          </cell>
          <cell r="I351" t="str">
            <v>C542</v>
          </cell>
        </row>
        <row r="352">
          <cell r="F352">
            <v>1214</v>
          </cell>
          <cell r="I352" t="str">
            <v>C543</v>
          </cell>
        </row>
        <row r="353">
          <cell r="F353">
            <v>1300</v>
          </cell>
          <cell r="G353" t="str">
            <v>NodeIn_RA_</v>
          </cell>
          <cell r="I353" t="str">
            <v>C544</v>
          </cell>
        </row>
        <row r="354">
          <cell r="F354">
            <v>1301</v>
          </cell>
          <cell r="G354" t="str">
            <v>NodeOut_RFan_</v>
          </cell>
          <cell r="I354" t="str">
            <v>C545</v>
          </cell>
        </row>
        <row r="355">
          <cell r="F355">
            <v>1302</v>
          </cell>
          <cell r="G355" t="str">
            <v>NodeOut_EA_</v>
          </cell>
          <cell r="I355" t="str">
            <v>C546</v>
          </cell>
        </row>
        <row r="356">
          <cell r="F356">
            <v>1303</v>
          </cell>
          <cell r="G356" t="str">
            <v>Not Used</v>
          </cell>
          <cell r="I356" t="str">
            <v>C547</v>
          </cell>
        </row>
        <row r="357">
          <cell r="F357">
            <v>1304</v>
          </cell>
          <cell r="G357" t="str">
            <v>NodeIn_OA_</v>
          </cell>
          <cell r="I357" t="str">
            <v>C548</v>
          </cell>
        </row>
        <row r="358">
          <cell r="F358">
            <v>1305</v>
          </cell>
          <cell r="G358" t="str">
            <v>NodeOut_MA_</v>
          </cell>
          <cell r="I358" t="str">
            <v>C549</v>
          </cell>
        </row>
        <row r="359">
          <cell r="F359">
            <v>1306</v>
          </cell>
          <cell r="G359" t="str">
            <v>Not Used</v>
          </cell>
          <cell r="I359" t="str">
            <v>C550</v>
          </cell>
          <cell r="J359" t="str">
            <v>BrLIST_GenSet Supply</v>
          </cell>
        </row>
        <row r="360">
          <cell r="F360">
            <v>1307</v>
          </cell>
          <cell r="G360" t="str">
            <v>NodeOut_ClgCoilAir_</v>
          </cell>
          <cell r="I360" t="str">
            <v>C551</v>
          </cell>
          <cell r="J360" t="str">
            <v>Branch_GenSet Supply Inlet</v>
          </cell>
        </row>
        <row r="361">
          <cell r="F361">
            <v>1308</v>
          </cell>
          <cell r="G361" t="str">
            <v>NodeOut_SFan_</v>
          </cell>
          <cell r="I361" t="str">
            <v>C552</v>
          </cell>
          <cell r="J361" t="str">
            <v>Branch_GenSet1</v>
          </cell>
        </row>
        <row r="362">
          <cell r="F362">
            <v>1309</v>
          </cell>
          <cell r="G362" t="str">
            <v>NodeOut_HtgCoilAir_</v>
          </cell>
          <cell r="I362" t="str">
            <v>C553</v>
          </cell>
          <cell r="J362" t="str">
            <v>Branch_GenSet2</v>
          </cell>
        </row>
        <row r="363">
          <cell r="F363">
            <v>1310</v>
          </cell>
          <cell r="G363" t="str">
            <v>NodeOut_Air_</v>
          </cell>
          <cell r="I363" t="str">
            <v>C554</v>
          </cell>
          <cell r="J363" t="str">
            <v>Branch_GenSet SupplyBypass</v>
          </cell>
        </row>
        <row r="364">
          <cell r="F364">
            <v>1311</v>
          </cell>
          <cell r="G364" t="str">
            <v>NodeOut_HMX_</v>
          </cell>
          <cell r="I364" t="str">
            <v>C555</v>
          </cell>
          <cell r="J364" t="str">
            <v>Branch_GenSet SupplyOutlet</v>
          </cell>
        </row>
        <row r="365">
          <cell r="F365">
            <v>1312</v>
          </cell>
          <cell r="G365" t="str">
            <v>NodeOut_HMXexh_</v>
          </cell>
          <cell r="I365" t="str">
            <v>C556</v>
          </cell>
        </row>
        <row r="366">
          <cell r="F366">
            <v>1313</v>
          </cell>
          <cell r="G366" t="str">
            <v>NodeOut_CondCoil_</v>
          </cell>
          <cell r="I366" t="str">
            <v>C557</v>
          </cell>
        </row>
        <row r="367">
          <cell r="F367">
            <v>1314</v>
          </cell>
          <cell r="G367" t="str">
            <v>NodeOut_HMXEFan_</v>
          </cell>
          <cell r="I367" t="str">
            <v>C558</v>
          </cell>
        </row>
        <row r="368">
          <cell r="F368">
            <v>1315</v>
          </cell>
          <cell r="G368" t="str">
            <v>Not Used</v>
          </cell>
          <cell r="I368" t="str">
            <v>C559</v>
          </cell>
        </row>
        <row r="369">
          <cell r="F369">
            <v>1316</v>
          </cell>
          <cell r="G369" t="str">
            <v>NodeIn_SecyDuct_</v>
          </cell>
          <cell r="I369" t="str">
            <v>C560</v>
          </cell>
        </row>
        <row r="370">
          <cell r="F370">
            <v>1317</v>
          </cell>
          <cell r="G370" t="str">
            <v>NodeOut_SecyDuct_</v>
          </cell>
          <cell r="I370" t="str">
            <v>C561</v>
          </cell>
        </row>
        <row r="371">
          <cell r="F371">
            <v>1318</v>
          </cell>
          <cell r="I371" t="str">
            <v>C562</v>
          </cell>
        </row>
        <row r="372">
          <cell r="F372">
            <v>1500</v>
          </cell>
          <cell r="G372" t="str">
            <v>NodeIn_WSHP_</v>
          </cell>
          <cell r="I372" t="str">
            <v>C563</v>
          </cell>
        </row>
        <row r="373">
          <cell r="F373">
            <v>1501</v>
          </cell>
          <cell r="G373" t="str">
            <v>NotUsed</v>
          </cell>
          <cell r="I373" t="str">
            <v>C600</v>
          </cell>
          <cell r="J373" t="str">
            <v>BrLIST_ChWtr Supply</v>
          </cell>
        </row>
        <row r="374">
          <cell r="F374">
            <v>1502</v>
          </cell>
          <cell r="G374" t="str">
            <v>NotUsed</v>
          </cell>
          <cell r="I374" t="str">
            <v>C601</v>
          </cell>
          <cell r="J374" t="str">
            <v>Branch_ChWtr Supply Inlet</v>
          </cell>
        </row>
        <row r="375">
          <cell r="F375">
            <v>1503</v>
          </cell>
          <cell r="G375" t="str">
            <v>NotUsed</v>
          </cell>
          <cell r="I375" t="str">
            <v>C602</v>
          </cell>
          <cell r="J375" t="str">
            <v>Branch_ChWtr Supply RM1</v>
          </cell>
        </row>
        <row r="376">
          <cell r="F376">
            <v>1504</v>
          </cell>
          <cell r="G376" t="str">
            <v>NotUsed</v>
          </cell>
          <cell r="I376" t="str">
            <v>C603</v>
          </cell>
          <cell r="J376" t="str">
            <v>Branch_ChWtr Supply RM2</v>
          </cell>
        </row>
        <row r="377">
          <cell r="F377">
            <v>1505</v>
          </cell>
          <cell r="G377" t="str">
            <v>NotUsed</v>
          </cell>
          <cell r="I377" t="str">
            <v>C604</v>
          </cell>
          <cell r="J377" t="str">
            <v>Branch_ChWtr Supply Bypass</v>
          </cell>
        </row>
        <row r="378">
          <cell r="F378">
            <v>1506</v>
          </cell>
          <cell r="G378" t="str">
            <v>NotUsed</v>
          </cell>
          <cell r="I378" t="str">
            <v>C605</v>
          </cell>
          <cell r="J378" t="str">
            <v>Branch_ChWtr Supply Outlet</v>
          </cell>
        </row>
        <row r="379">
          <cell r="F379">
            <v>1507</v>
          </cell>
          <cell r="G379" t="str">
            <v>NodeOut_ClgCoilAir_</v>
          </cell>
          <cell r="I379" t="str">
            <v>C606</v>
          </cell>
        </row>
        <row r="380">
          <cell r="F380">
            <v>1508</v>
          </cell>
          <cell r="G380" t="str">
            <v>NodeOut_HtgCoilAir_</v>
          </cell>
          <cell r="I380" t="str">
            <v>C607</v>
          </cell>
        </row>
        <row r="381">
          <cell r="F381">
            <v>1509</v>
          </cell>
          <cell r="G381" t="str">
            <v>NodeOut_SFan_</v>
          </cell>
          <cell r="I381" t="str">
            <v>C608</v>
          </cell>
        </row>
        <row r="382">
          <cell r="F382">
            <v>1510</v>
          </cell>
          <cell r="G382" t="str">
            <v>NodeOut_WSHP_</v>
          </cell>
          <cell r="I382" t="str">
            <v>C609</v>
          </cell>
        </row>
        <row r="383">
          <cell r="F383">
            <v>1511</v>
          </cell>
          <cell r="I383" t="str">
            <v>C610</v>
          </cell>
          <cell r="J383" t="str">
            <v>ConnLIST_ChWtr Supply</v>
          </cell>
        </row>
        <row r="384">
          <cell r="F384">
            <v>1512</v>
          </cell>
          <cell r="I384" t="str">
            <v>C611</v>
          </cell>
          <cell r="J384" t="str">
            <v>Splitter_ChWtr Supply</v>
          </cell>
        </row>
        <row r="385">
          <cell r="F385">
            <v>1513</v>
          </cell>
          <cell r="I385" t="str">
            <v>C612</v>
          </cell>
          <cell r="J385" t="str">
            <v>Mixer_ChWtr Supply</v>
          </cell>
        </row>
        <row r="386">
          <cell r="F386">
            <v>1514</v>
          </cell>
          <cell r="I386" t="str">
            <v>C613</v>
          </cell>
        </row>
        <row r="387">
          <cell r="F387">
            <v>2000</v>
          </cell>
          <cell r="G387" t="str">
            <v>NodeIn_DemandInlet_</v>
          </cell>
          <cell r="I387" t="str">
            <v>C614</v>
          </cell>
        </row>
        <row r="388">
          <cell r="F388">
            <v>2001</v>
          </cell>
          <cell r="G388" t="str">
            <v>NodeOut_ZnSpltr_</v>
          </cell>
          <cell r="I388" t="str">
            <v>C615</v>
          </cell>
          <cell r="J388" t="str">
            <v>ConnLIST_ChWtr Demand</v>
          </cell>
        </row>
        <row r="389">
          <cell r="F389">
            <v>2002</v>
          </cell>
          <cell r="G389" t="str">
            <v>NodeOut_VVDpr_</v>
          </cell>
          <cell r="I389" t="str">
            <v>C616</v>
          </cell>
          <cell r="J389" t="str">
            <v>Splitter_ChWtr Demand</v>
          </cell>
        </row>
        <row r="390">
          <cell r="F390">
            <v>2003</v>
          </cell>
          <cell r="G390" t="str">
            <v>NodeIn_Zn_</v>
          </cell>
          <cell r="I390" t="str">
            <v>C617</v>
          </cell>
          <cell r="J390" t="str">
            <v>Mixer_ChWtr Demand</v>
          </cell>
        </row>
        <row r="391">
          <cell r="F391">
            <v>2004</v>
          </cell>
          <cell r="G391" t="str">
            <v>Node_</v>
          </cell>
          <cell r="I391" t="str">
            <v>C618</v>
          </cell>
        </row>
        <row r="392">
          <cell r="F392">
            <v>2005</v>
          </cell>
          <cell r="G392" t="str">
            <v>NodeOut_</v>
          </cell>
          <cell r="I392" t="str">
            <v>C619</v>
          </cell>
          <cell r="J392" t="str">
            <v>BrLIST_ChWtr Demand</v>
          </cell>
        </row>
        <row r="393">
          <cell r="F393">
            <v>2006</v>
          </cell>
          <cell r="G393" t="str">
            <v>NotUsed</v>
          </cell>
          <cell r="I393" t="str">
            <v>C620</v>
          </cell>
          <cell r="J393" t="str">
            <v>Branch_ChWtr Demand Inlet</v>
          </cell>
        </row>
        <row r="394">
          <cell r="F394">
            <v>2007</v>
          </cell>
          <cell r="G394" t="str">
            <v>NotUsed</v>
          </cell>
          <cell r="I394" t="str">
            <v>C621</v>
          </cell>
          <cell r="J394" t="str">
            <v>Branch_ChWcoil_</v>
          </cell>
        </row>
        <row r="395">
          <cell r="F395">
            <v>2008</v>
          </cell>
          <cell r="G395" t="str">
            <v>NodeIn_PFPFan_</v>
          </cell>
          <cell r="I395" t="str">
            <v>C622</v>
          </cell>
        </row>
        <row r="396">
          <cell r="F396">
            <v>2009</v>
          </cell>
          <cell r="G396" t="str">
            <v>NodeOut_PFPFan_</v>
          </cell>
          <cell r="I396" t="str">
            <v>C623</v>
          </cell>
        </row>
        <row r="397">
          <cell r="F397">
            <v>2010</v>
          </cell>
          <cell r="G397" t="str">
            <v>NotUsed</v>
          </cell>
          <cell r="I397" t="str">
            <v>C624</v>
          </cell>
        </row>
        <row r="398">
          <cell r="F398">
            <v>2011</v>
          </cell>
          <cell r="I398" t="str">
            <v>C625</v>
          </cell>
          <cell r="J398" t="str">
            <v>Branch_ChWtr DemandBypass</v>
          </cell>
        </row>
        <row r="399">
          <cell r="F399">
            <v>2012</v>
          </cell>
          <cell r="I399" t="str">
            <v>C626</v>
          </cell>
          <cell r="J399" t="str">
            <v>Branch_ChWtr DemandOutlet</v>
          </cell>
        </row>
        <row r="400">
          <cell r="F400">
            <v>2013</v>
          </cell>
          <cell r="I400" t="str">
            <v>C627</v>
          </cell>
        </row>
        <row r="401">
          <cell r="F401">
            <v>2014</v>
          </cell>
          <cell r="I401" t="str">
            <v>C628</v>
          </cell>
        </row>
        <row r="402">
          <cell r="F402">
            <v>2015</v>
          </cell>
          <cell r="I402" t="str">
            <v>C629</v>
          </cell>
          <cell r="J402" t="str">
            <v>SPMgr_Sched_HX_</v>
          </cell>
        </row>
        <row r="403">
          <cell r="F403">
            <v>2016</v>
          </cell>
          <cell r="I403" t="str">
            <v>C630</v>
          </cell>
        </row>
        <row r="404">
          <cell r="F404">
            <v>2017</v>
          </cell>
          <cell r="I404" t="str">
            <v>C631</v>
          </cell>
          <cell r="J404" t="str">
            <v>Coil_HPClgMode_</v>
          </cell>
        </row>
        <row r="405">
          <cell r="F405">
            <v>2018</v>
          </cell>
          <cell r="I405" t="str">
            <v>C632</v>
          </cell>
        </row>
        <row r="406">
          <cell r="F406">
            <v>2019</v>
          </cell>
          <cell r="I406" t="str">
            <v>C633</v>
          </cell>
        </row>
        <row r="407">
          <cell r="F407">
            <v>2500</v>
          </cell>
          <cell r="G407" t="str">
            <v>NodeOut_DemandOutlet_</v>
          </cell>
          <cell r="I407" t="str">
            <v>C634</v>
          </cell>
        </row>
        <row r="408">
          <cell r="F408">
            <v>2501</v>
          </cell>
          <cell r="I408" t="str">
            <v>C635</v>
          </cell>
        </row>
        <row r="409">
          <cell r="F409">
            <v>2502</v>
          </cell>
          <cell r="I409" t="str">
            <v>C636</v>
          </cell>
        </row>
        <row r="410">
          <cell r="F410">
            <v>2503</v>
          </cell>
          <cell r="I410" t="str">
            <v>C637</v>
          </cell>
        </row>
        <row r="411">
          <cell r="F411">
            <v>2504</v>
          </cell>
          <cell r="I411" t="str">
            <v>C638</v>
          </cell>
        </row>
        <row r="412">
          <cell r="F412">
            <v>2505</v>
          </cell>
          <cell r="I412" t="str">
            <v>C639</v>
          </cell>
        </row>
        <row r="413">
          <cell r="F413">
            <v>2506</v>
          </cell>
          <cell r="I413" t="str">
            <v>C640</v>
          </cell>
        </row>
        <row r="414">
          <cell r="F414">
            <v>2507</v>
          </cell>
          <cell r="I414" t="str">
            <v>C641</v>
          </cell>
          <cell r="J414" t="str">
            <v>Coil_HPHtgMode_</v>
          </cell>
        </row>
        <row r="415">
          <cell r="F415">
            <v>2508</v>
          </cell>
          <cell r="I415" t="str">
            <v>C642</v>
          </cell>
        </row>
        <row r="416">
          <cell r="F416">
            <v>2509</v>
          </cell>
          <cell r="I416" t="str">
            <v>C643</v>
          </cell>
        </row>
        <row r="417">
          <cell r="F417">
            <v>2600</v>
          </cell>
          <cell r="G417" t="str">
            <v>NodeIn_UH1</v>
          </cell>
          <cell r="I417" t="str">
            <v>C644</v>
          </cell>
        </row>
        <row r="418">
          <cell r="F418">
            <v>2601</v>
          </cell>
          <cell r="G418" t="str">
            <v>NodeOut_Fan_UH1</v>
          </cell>
          <cell r="I418" t="str">
            <v>C645</v>
          </cell>
        </row>
        <row r="419">
          <cell r="F419">
            <v>2602</v>
          </cell>
          <cell r="G419" t="str">
            <v>NodeOut_Coil_UH1</v>
          </cell>
          <cell r="I419" t="str">
            <v>C646</v>
          </cell>
        </row>
        <row r="420">
          <cell r="F420">
            <v>2603</v>
          </cell>
          <cell r="I420" t="str">
            <v>C647</v>
          </cell>
        </row>
        <row r="421">
          <cell r="F421">
            <v>2604</v>
          </cell>
          <cell r="I421" t="str">
            <v>C648</v>
          </cell>
        </row>
        <row r="422">
          <cell r="F422">
            <v>2605</v>
          </cell>
          <cell r="I422" t="str">
            <v>C649</v>
          </cell>
        </row>
        <row r="423">
          <cell r="F423">
            <v>2606</v>
          </cell>
          <cell r="I423" t="str">
            <v>C650</v>
          </cell>
          <cell r="J423" t="str">
            <v>SPMgr_ChW</v>
          </cell>
        </row>
        <row r="424">
          <cell r="F424">
            <v>2607</v>
          </cell>
          <cell r="I424" t="str">
            <v>C651</v>
          </cell>
        </row>
        <row r="425">
          <cell r="F425">
            <v>2608</v>
          </cell>
          <cell r="I425" t="str">
            <v>C652</v>
          </cell>
        </row>
        <row r="426">
          <cell r="F426">
            <v>2609</v>
          </cell>
          <cell r="I426" t="str">
            <v>C653</v>
          </cell>
        </row>
        <row r="427">
          <cell r="F427">
            <v>2610</v>
          </cell>
          <cell r="I427" t="str">
            <v>C654</v>
          </cell>
        </row>
        <row r="428">
          <cell r="F428">
            <v>2611</v>
          </cell>
          <cell r="I428" t="str">
            <v>C655</v>
          </cell>
        </row>
        <row r="429">
          <cell r="F429">
            <v>2612</v>
          </cell>
          <cell r="I429" t="str">
            <v>C656</v>
          </cell>
        </row>
        <row r="430">
          <cell r="F430">
            <v>2700</v>
          </cell>
          <cell r="G430" t="str">
            <v>NodeIn_EA_</v>
          </cell>
          <cell r="I430" t="str">
            <v>C657</v>
          </cell>
        </row>
        <row r="431">
          <cell r="F431">
            <v>2701</v>
          </cell>
          <cell r="G431" t="str">
            <v>NotUsed_</v>
          </cell>
          <cell r="I431" t="str">
            <v>C658</v>
          </cell>
        </row>
        <row r="432">
          <cell r="F432">
            <v>2702</v>
          </cell>
          <cell r="G432" t="str">
            <v>NodeOut_EA_</v>
          </cell>
          <cell r="I432" t="str">
            <v>C659</v>
          </cell>
        </row>
        <row r="433">
          <cell r="F433">
            <v>2703</v>
          </cell>
          <cell r="G433" t="str">
            <v>NodeOut_EF_</v>
          </cell>
          <cell r="I433" t="str">
            <v>C660</v>
          </cell>
          <cell r="J433" t="str">
            <v>ChBeam_</v>
          </cell>
        </row>
        <row r="434">
          <cell r="F434">
            <v>2704</v>
          </cell>
          <cell r="G434" t="str">
            <v>NodeIn_OA_</v>
          </cell>
          <cell r="I434" t="str">
            <v>C661</v>
          </cell>
          <cell r="J434" t="str">
            <v>Branch_ChBeam_</v>
          </cell>
        </row>
        <row r="435">
          <cell r="F435">
            <v>2705</v>
          </cell>
          <cell r="G435" t="str">
            <v>NotUsed_</v>
          </cell>
          <cell r="I435" t="str">
            <v>C662</v>
          </cell>
        </row>
        <row r="436">
          <cell r="F436">
            <v>2706</v>
          </cell>
          <cell r="G436" t="str">
            <v>NodeOut_SFbt_</v>
          </cell>
          <cell r="I436" t="str">
            <v>C663</v>
          </cell>
        </row>
        <row r="437">
          <cell r="F437">
            <v>2707</v>
          </cell>
          <cell r="G437" t="str">
            <v>NodeOut_ClgCoilAir_</v>
          </cell>
          <cell r="I437" t="str">
            <v>C664</v>
          </cell>
        </row>
        <row r="438">
          <cell r="F438">
            <v>2708</v>
          </cell>
          <cell r="G438" t="str">
            <v>NodeOut_HtgCoilAir_</v>
          </cell>
          <cell r="I438" t="str">
            <v>C665</v>
          </cell>
        </row>
        <row r="439">
          <cell r="F439">
            <v>2709</v>
          </cell>
          <cell r="G439" t="str">
            <v>NotUsed_</v>
          </cell>
          <cell r="I439" t="str">
            <v>C666</v>
          </cell>
        </row>
        <row r="440">
          <cell r="F440">
            <v>2710</v>
          </cell>
          <cell r="G440" t="str">
            <v>NodeOut_AHUoa_</v>
          </cell>
          <cell r="I440" t="str">
            <v>C667</v>
          </cell>
        </row>
        <row r="441">
          <cell r="F441">
            <v>2711</v>
          </cell>
          <cell r="G441" t="str">
            <v>NodeOut_HXoa_</v>
          </cell>
          <cell r="I441" t="str">
            <v>C668</v>
          </cell>
        </row>
        <row r="442">
          <cell r="F442">
            <v>2712</v>
          </cell>
          <cell r="G442" t="str">
            <v>NodeOut_HXea_</v>
          </cell>
          <cell r="I442" t="str">
            <v>C669</v>
          </cell>
        </row>
        <row r="443">
          <cell r="F443">
            <v>2713</v>
          </cell>
          <cell r="I443" t="str">
            <v>C670</v>
          </cell>
          <cell r="J443" t="str">
            <v>RhtCoil_</v>
          </cell>
        </row>
        <row r="444">
          <cell r="F444">
            <v>2714</v>
          </cell>
          <cell r="I444" t="str">
            <v>C671</v>
          </cell>
          <cell r="J444" t="str">
            <v>Branch_RhtCoil_</v>
          </cell>
        </row>
        <row r="445">
          <cell r="F445">
            <v>2800</v>
          </cell>
          <cell r="G445" t="str">
            <v>NodeIn_ZnHPRA_</v>
          </cell>
          <cell r="I445" t="str">
            <v>C672</v>
          </cell>
        </row>
        <row r="446">
          <cell r="F446">
            <v>2801</v>
          </cell>
          <cell r="I446" t="str">
            <v>C673</v>
          </cell>
        </row>
        <row r="447">
          <cell r="F447">
            <v>2802</v>
          </cell>
          <cell r="G447" t="str">
            <v>NodeOut_ZnHPEA_</v>
          </cell>
          <cell r="I447" t="str">
            <v>C674</v>
          </cell>
        </row>
        <row r="448">
          <cell r="F448">
            <v>2803</v>
          </cell>
          <cell r="G448" t="str">
            <v>NodeOut_ZnHPEF_</v>
          </cell>
          <cell r="I448" t="str">
            <v>C675</v>
          </cell>
        </row>
        <row r="449">
          <cell r="F449">
            <v>2804</v>
          </cell>
          <cell r="G449" t="str">
            <v>NodeIn_ZnHPOA_</v>
          </cell>
          <cell r="I449" t="str">
            <v>C676</v>
          </cell>
        </row>
        <row r="450">
          <cell r="F450">
            <v>2805</v>
          </cell>
          <cell r="G450" t="str">
            <v>NodeOut_ZnHPMA_</v>
          </cell>
          <cell r="I450" t="str">
            <v>C677</v>
          </cell>
        </row>
        <row r="451">
          <cell r="F451">
            <v>2806</v>
          </cell>
          <cell r="I451" t="str">
            <v>C678</v>
          </cell>
        </row>
        <row r="452">
          <cell r="F452">
            <v>2807</v>
          </cell>
          <cell r="G452" t="str">
            <v>NodeOut_ZnHPCC_</v>
          </cell>
          <cell r="I452" t="str">
            <v>C679</v>
          </cell>
        </row>
        <row r="453">
          <cell r="F453">
            <v>2808</v>
          </cell>
          <cell r="G453" t="str">
            <v>NodeOut_ZnHPHC_</v>
          </cell>
          <cell r="I453" t="str">
            <v>C680</v>
          </cell>
          <cell r="J453" t="str">
            <v>BaseBd_</v>
          </cell>
        </row>
        <row r="454">
          <cell r="F454">
            <v>2809</v>
          </cell>
          <cell r="G454" t="str">
            <v>NodeOut_ZnHPSF_</v>
          </cell>
          <cell r="I454" t="str">
            <v>C681</v>
          </cell>
          <cell r="J454" t="str">
            <v>Branch_BaseBd_</v>
          </cell>
        </row>
        <row r="455">
          <cell r="F455">
            <v>2810</v>
          </cell>
          <cell r="G455" t="str">
            <v>NodeOut_ZnHP_</v>
          </cell>
          <cell r="I455" t="str">
            <v>C682</v>
          </cell>
        </row>
        <row r="456">
          <cell r="F456">
            <v>2811</v>
          </cell>
          <cell r="I456" t="str">
            <v>C683</v>
          </cell>
        </row>
        <row r="457">
          <cell r="F457">
            <v>2812</v>
          </cell>
          <cell r="I457" t="str">
            <v>C684</v>
          </cell>
        </row>
        <row r="458">
          <cell r="F458">
            <v>2813</v>
          </cell>
          <cell r="I458" t="str">
            <v>C685</v>
          </cell>
          <cell r="J458" t="str">
            <v>RadFloor_</v>
          </cell>
        </row>
        <row r="459">
          <cell r="F459">
            <v>2814</v>
          </cell>
          <cell r="I459" t="str">
            <v>C686</v>
          </cell>
          <cell r="J459" t="str">
            <v>Branch_RadFloor_</v>
          </cell>
        </row>
        <row r="460">
          <cell r="F460">
            <v>2900</v>
          </cell>
          <cell r="G460" t="str">
            <v>NodeIn_ChBeamAir_</v>
          </cell>
          <cell r="I460" t="str">
            <v>C687</v>
          </cell>
        </row>
        <row r="461">
          <cell r="F461">
            <v>2901</v>
          </cell>
          <cell r="G461" t="str">
            <v>NodeOut_ChBeamAir_</v>
          </cell>
          <cell r="I461" t="str">
            <v>C688</v>
          </cell>
        </row>
        <row r="462">
          <cell r="F462">
            <v>2902</v>
          </cell>
          <cell r="I462" t="str">
            <v>C689</v>
          </cell>
        </row>
        <row r="463">
          <cell r="F463">
            <v>2903</v>
          </cell>
          <cell r="I463" t="str">
            <v>C690</v>
          </cell>
          <cell r="J463" t="str">
            <v>VRF_rm_</v>
          </cell>
        </row>
        <row r="464">
          <cell r="F464">
            <v>2904</v>
          </cell>
          <cell r="I464" t="str">
            <v>C691</v>
          </cell>
          <cell r="J464" t="str">
            <v>VRF_fan_</v>
          </cell>
        </row>
        <row r="465">
          <cell r="F465">
            <v>2905</v>
          </cell>
          <cell r="I465" t="str">
            <v>C692</v>
          </cell>
          <cell r="J465" t="str">
            <v>VRF_CC_</v>
          </cell>
        </row>
        <row r="466">
          <cell r="F466">
            <v>2906</v>
          </cell>
          <cell r="I466" t="str">
            <v>C693</v>
          </cell>
          <cell r="J466" t="str">
            <v>VRF_HC_</v>
          </cell>
        </row>
        <row r="467">
          <cell r="F467">
            <v>2907</v>
          </cell>
          <cell r="I467" t="str">
            <v>C694</v>
          </cell>
        </row>
        <row r="468">
          <cell r="F468">
            <v>2908</v>
          </cell>
          <cell r="I468" t="str">
            <v>C695</v>
          </cell>
          <cell r="J468" t="str">
            <v>VRF_OA_</v>
          </cell>
        </row>
        <row r="469">
          <cell r="F469">
            <v>2909</v>
          </cell>
          <cell r="I469" t="str">
            <v>C696</v>
          </cell>
        </row>
        <row r="470">
          <cell r="F470">
            <v>2910</v>
          </cell>
          <cell r="I470" t="str">
            <v>C697</v>
          </cell>
        </row>
        <row r="471">
          <cell r="F471">
            <v>2911</v>
          </cell>
          <cell r="I471" t="str">
            <v>C698</v>
          </cell>
        </row>
        <row r="472">
          <cell r="F472">
            <v>2912</v>
          </cell>
          <cell r="I472" t="str">
            <v>C699</v>
          </cell>
        </row>
        <row r="473">
          <cell r="F473">
            <v>2913</v>
          </cell>
          <cell r="I473" t="str">
            <v>C700</v>
          </cell>
          <cell r="J473" t="str">
            <v>SF_UH1</v>
          </cell>
        </row>
        <row r="474">
          <cell r="F474">
            <v>2914</v>
          </cell>
          <cell r="I474" t="str">
            <v>C701</v>
          </cell>
        </row>
        <row r="475">
          <cell r="F475">
            <v>2915</v>
          </cell>
          <cell r="I475" t="str">
            <v>C702</v>
          </cell>
        </row>
        <row r="476">
          <cell r="F476">
            <v>2916</v>
          </cell>
          <cell r="I476" t="str">
            <v>C703</v>
          </cell>
        </row>
        <row r="477">
          <cell r="F477">
            <v>2917</v>
          </cell>
          <cell r="I477" t="str">
            <v>C704</v>
          </cell>
        </row>
        <row r="478">
          <cell r="F478">
            <v>2918</v>
          </cell>
          <cell r="I478" t="str">
            <v>C705</v>
          </cell>
        </row>
        <row r="479">
          <cell r="F479">
            <v>2919</v>
          </cell>
          <cell r="I479" t="str">
            <v>C706</v>
          </cell>
        </row>
        <row r="480">
          <cell r="F480">
            <v>3000</v>
          </cell>
          <cell r="G480" t="str">
            <v>NodeIn_FanCoilRA_</v>
          </cell>
          <cell r="I480" t="str">
            <v>C707</v>
          </cell>
        </row>
        <row r="481">
          <cell r="F481">
            <v>3001</v>
          </cell>
          <cell r="G481" t="str">
            <v>NotUsed</v>
          </cell>
          <cell r="I481" t="str">
            <v>C708</v>
          </cell>
        </row>
        <row r="482">
          <cell r="F482">
            <v>3002</v>
          </cell>
          <cell r="G482" t="str">
            <v>NodeOut_FanCoilEA_</v>
          </cell>
          <cell r="I482" t="str">
            <v>C709</v>
          </cell>
        </row>
        <row r="483">
          <cell r="F483">
            <v>3003</v>
          </cell>
          <cell r="G483" t="str">
            <v>NotUsed_</v>
          </cell>
          <cell r="I483" t="str">
            <v>C710</v>
          </cell>
        </row>
        <row r="484">
          <cell r="F484">
            <v>3004</v>
          </cell>
          <cell r="G484" t="str">
            <v>NodeIn_FanCoilOA_</v>
          </cell>
          <cell r="I484" t="str">
            <v>C711</v>
          </cell>
          <cell r="J484" t="str">
            <v>RFan_</v>
          </cell>
        </row>
        <row r="485">
          <cell r="F485">
            <v>3005</v>
          </cell>
          <cell r="G485" t="str">
            <v>NodeOut_FanCoilMA_</v>
          </cell>
          <cell r="I485" t="str">
            <v>C712</v>
          </cell>
          <cell r="J485" t="str">
            <v>ExhFan_</v>
          </cell>
        </row>
        <row r="486">
          <cell r="F486">
            <v>3006</v>
          </cell>
          <cell r="G486" t="str">
            <v>NodeOut_FanCoilSFbt_</v>
          </cell>
          <cell r="I486" t="str">
            <v>C713</v>
          </cell>
        </row>
        <row r="487">
          <cell r="F487">
            <v>3007</v>
          </cell>
          <cell r="G487" t="str">
            <v>NodeOut_FanCoilCCair_</v>
          </cell>
          <cell r="I487" t="str">
            <v>C714</v>
          </cell>
        </row>
        <row r="488">
          <cell r="F488">
            <v>3008</v>
          </cell>
          <cell r="G488" t="str">
            <v>NodeOut_FanCoilHCair_</v>
          </cell>
          <cell r="I488" t="str">
            <v>C715</v>
          </cell>
        </row>
        <row r="489">
          <cell r="F489">
            <v>3009</v>
          </cell>
          <cell r="G489" t="str">
            <v>NotUsed_</v>
          </cell>
          <cell r="I489" t="str">
            <v>C716</v>
          </cell>
        </row>
        <row r="490">
          <cell r="F490">
            <v>3010</v>
          </cell>
          <cell r="G490" t="str">
            <v>NodeOut_FanCoil_</v>
          </cell>
          <cell r="I490" t="str">
            <v>C717</v>
          </cell>
        </row>
        <row r="491">
          <cell r="F491">
            <v>3011</v>
          </cell>
          <cell r="I491" t="str">
            <v>C718</v>
          </cell>
        </row>
        <row r="492">
          <cell r="F492">
            <v>3012</v>
          </cell>
          <cell r="I492" t="str">
            <v>C719</v>
          </cell>
        </row>
        <row r="493">
          <cell r="F493">
            <v>3013</v>
          </cell>
          <cell r="I493" t="str">
            <v>C720</v>
          </cell>
        </row>
        <row r="494">
          <cell r="F494">
            <v>3014</v>
          </cell>
          <cell r="I494" t="str">
            <v>C721</v>
          </cell>
          <cell r="J494" t="str">
            <v>SFan_</v>
          </cell>
        </row>
        <row r="495">
          <cell r="F495">
            <v>3015</v>
          </cell>
          <cell r="I495" t="str">
            <v>C722</v>
          </cell>
          <cell r="J495" t="str">
            <v>ZnHP_SF_</v>
          </cell>
        </row>
        <row r="496">
          <cell r="F496">
            <v>3016</v>
          </cell>
          <cell r="I496" t="str">
            <v>C723</v>
          </cell>
          <cell r="J496" t="str">
            <v>ZnPTAC_SF_</v>
          </cell>
        </row>
        <row r="497">
          <cell r="F497">
            <v>3017</v>
          </cell>
          <cell r="I497" t="str">
            <v>C724</v>
          </cell>
        </row>
        <row r="498">
          <cell r="F498">
            <v>3018</v>
          </cell>
          <cell r="I498" t="str">
            <v>C725</v>
          </cell>
        </row>
        <row r="499">
          <cell r="F499">
            <v>3019</v>
          </cell>
          <cell r="I499" t="str">
            <v>C726</v>
          </cell>
        </row>
        <row r="500">
          <cell r="F500">
            <v>3100</v>
          </cell>
          <cell r="G500" t="str">
            <v>NodeIn_PTACAir_</v>
          </cell>
          <cell r="I500" t="str">
            <v>C727</v>
          </cell>
        </row>
        <row r="501">
          <cell r="F501">
            <v>3101</v>
          </cell>
          <cell r="G501" t="str">
            <v>NodeOut_PTACAir_</v>
          </cell>
          <cell r="I501" t="str">
            <v>C728</v>
          </cell>
        </row>
        <row r="502">
          <cell r="F502">
            <v>3102</v>
          </cell>
          <cell r="G502" t="str">
            <v>NotUsed_</v>
          </cell>
          <cell r="I502" t="str">
            <v>C729</v>
          </cell>
        </row>
        <row r="503">
          <cell r="F503">
            <v>3103</v>
          </cell>
          <cell r="G503" t="str">
            <v>NotUsed_</v>
          </cell>
          <cell r="I503" t="str">
            <v>C730</v>
          </cell>
        </row>
        <row r="504">
          <cell r="F504">
            <v>3104</v>
          </cell>
          <cell r="G504" t="str">
            <v>NodeIn_PTAC_OA_</v>
          </cell>
          <cell r="I504" t="str">
            <v>C731</v>
          </cell>
          <cell r="J504" t="str">
            <v>HtgCoil1_</v>
          </cell>
        </row>
        <row r="505">
          <cell r="F505">
            <v>3105</v>
          </cell>
          <cell r="G505" t="str">
            <v>NodeOut_PTAC_MA_</v>
          </cell>
          <cell r="I505" t="str">
            <v>C732</v>
          </cell>
          <cell r="J505" t="str">
            <v>HtgCoil2_</v>
          </cell>
        </row>
        <row r="506">
          <cell r="F506">
            <v>3106</v>
          </cell>
          <cell r="G506" t="str">
            <v>NodeOut_PTAC_SFbt_</v>
          </cell>
          <cell r="I506" t="str">
            <v>C733</v>
          </cell>
        </row>
        <row r="507">
          <cell r="F507">
            <v>3107</v>
          </cell>
          <cell r="G507" t="str">
            <v>NodeOut_PTAC_CCair_</v>
          </cell>
          <cell r="I507" t="str">
            <v>C734</v>
          </cell>
        </row>
        <row r="508">
          <cell r="F508">
            <v>3108</v>
          </cell>
          <cell r="G508" t="str">
            <v>NodeOut_PTAC_HCair_</v>
          </cell>
          <cell r="I508" t="str">
            <v>C735</v>
          </cell>
          <cell r="J508" t="str">
            <v>SupplHtgCoil_</v>
          </cell>
        </row>
        <row r="509">
          <cell r="F509">
            <v>3109</v>
          </cell>
          <cell r="G509" t="str">
            <v>NodeOut_PTAC_SFdt_</v>
          </cell>
          <cell r="I509" t="str">
            <v>C736</v>
          </cell>
          <cell r="J509" t="str">
            <v>SupplHtgCoil_HP_</v>
          </cell>
        </row>
        <row r="510">
          <cell r="F510">
            <v>3110</v>
          </cell>
          <cell r="G510" t="str">
            <v>NodeOut_PTAC_</v>
          </cell>
          <cell r="I510" t="str">
            <v>C737</v>
          </cell>
        </row>
        <row r="511">
          <cell r="F511">
            <v>3111</v>
          </cell>
          <cell r="I511" t="str">
            <v>C738</v>
          </cell>
        </row>
        <row r="512">
          <cell r="F512">
            <v>3112</v>
          </cell>
          <cell r="I512" t="str">
            <v>C739</v>
          </cell>
        </row>
        <row r="513">
          <cell r="F513">
            <v>3113</v>
          </cell>
          <cell r="I513" t="str">
            <v>C740</v>
          </cell>
        </row>
        <row r="514">
          <cell r="F514">
            <v>3114</v>
          </cell>
          <cell r="I514" t="str">
            <v>C741</v>
          </cell>
        </row>
        <row r="515">
          <cell r="F515">
            <v>3115</v>
          </cell>
          <cell r="I515" t="str">
            <v>C742</v>
          </cell>
        </row>
        <row r="516">
          <cell r="F516">
            <v>3116</v>
          </cell>
          <cell r="I516" t="str">
            <v>C743</v>
          </cell>
        </row>
        <row r="517">
          <cell r="F517">
            <v>3117</v>
          </cell>
          <cell r="I517" t="str">
            <v>C744</v>
          </cell>
        </row>
        <row r="518">
          <cell r="F518">
            <v>3118</v>
          </cell>
          <cell r="I518" t="str">
            <v>C745</v>
          </cell>
        </row>
        <row r="519">
          <cell r="F519">
            <v>3119</v>
          </cell>
          <cell r="I519" t="str">
            <v>C746</v>
          </cell>
        </row>
        <row r="520">
          <cell r="F520">
            <v>3120</v>
          </cell>
          <cell r="I520" t="str">
            <v>C747</v>
          </cell>
        </row>
        <row r="521">
          <cell r="F521">
            <v>3121</v>
          </cell>
          <cell r="I521" t="str">
            <v>C748</v>
          </cell>
        </row>
        <row r="522">
          <cell r="F522">
            <v>3122</v>
          </cell>
          <cell r="I522" t="str">
            <v>C749</v>
          </cell>
        </row>
        <row r="523">
          <cell r="F523">
            <v>3123</v>
          </cell>
          <cell r="I523" t="str">
            <v>C750</v>
          </cell>
          <cell r="J523" t="str">
            <v>HtgCoil_ UH1</v>
          </cell>
        </row>
        <row r="524">
          <cell r="F524">
            <v>3124</v>
          </cell>
          <cell r="I524" t="str">
            <v>C751</v>
          </cell>
        </row>
        <row r="525">
          <cell r="F525">
            <v>3200</v>
          </cell>
          <cell r="G525" t="str">
            <v>NodeIn_DomHW Pump_1</v>
          </cell>
          <cell r="I525" t="str">
            <v>C752</v>
          </cell>
        </row>
        <row r="526">
          <cell r="F526">
            <v>3201</v>
          </cell>
          <cell r="G526" t="str">
            <v>NodeOut_DomHW Pump_1</v>
          </cell>
          <cell r="I526" t="str">
            <v>C753</v>
          </cell>
        </row>
        <row r="527">
          <cell r="F527">
            <v>3202</v>
          </cell>
          <cell r="I527" t="str">
            <v>C754</v>
          </cell>
        </row>
        <row r="528">
          <cell r="F528">
            <v>3203</v>
          </cell>
          <cell r="I528" t="str">
            <v>C755</v>
          </cell>
        </row>
        <row r="529">
          <cell r="F529">
            <v>3204</v>
          </cell>
          <cell r="G529" t="str">
            <v>NodeIn_DomHW Supply Bypass</v>
          </cell>
          <cell r="I529" t="str">
            <v>C756</v>
          </cell>
        </row>
        <row r="530">
          <cell r="F530">
            <v>3205</v>
          </cell>
          <cell r="G530" t="str">
            <v>NodeOut_DomHW Supply Bypass</v>
          </cell>
          <cell r="I530" t="str">
            <v>C757</v>
          </cell>
        </row>
        <row r="531">
          <cell r="F531">
            <v>3206</v>
          </cell>
          <cell r="G531" t="str">
            <v>NodeIn_DomHW Supply Outlet</v>
          </cell>
          <cell r="I531" t="str">
            <v>C758</v>
          </cell>
        </row>
        <row r="532">
          <cell r="F532">
            <v>3207</v>
          </cell>
          <cell r="G532" t="str">
            <v>NodeOut_DomHW Supply Outlet</v>
          </cell>
          <cell r="I532" t="str">
            <v>C759</v>
          </cell>
        </row>
        <row r="533">
          <cell r="F533">
            <v>3208</v>
          </cell>
          <cell r="I533" t="str">
            <v>C760</v>
          </cell>
        </row>
        <row r="534">
          <cell r="F534">
            <v>3209</v>
          </cell>
          <cell r="I534" t="str">
            <v>C761</v>
          </cell>
          <cell r="J534" t="str">
            <v>CondWtr Pump_1</v>
          </cell>
        </row>
        <row r="535">
          <cell r="F535">
            <v>3210</v>
          </cell>
          <cell r="I535" t="str">
            <v>C762</v>
          </cell>
          <cell r="J535" t="str">
            <v>CondWtr Pump_2</v>
          </cell>
        </row>
        <row r="536">
          <cell r="F536">
            <v>3211</v>
          </cell>
          <cell r="I536" t="str">
            <v>C763</v>
          </cell>
          <cell r="J536" t="str">
            <v>CondWtr Pump_3</v>
          </cell>
        </row>
        <row r="537">
          <cell r="F537">
            <v>3212</v>
          </cell>
          <cell r="I537" t="str">
            <v>C764</v>
          </cell>
          <cell r="J537" t="str">
            <v>CondWtr Pump_4</v>
          </cell>
        </row>
        <row r="538">
          <cell r="F538">
            <v>3213</v>
          </cell>
          <cell r="I538" t="str">
            <v>C765</v>
          </cell>
        </row>
        <row r="539">
          <cell r="F539">
            <v>3214</v>
          </cell>
          <cell r="I539" t="str">
            <v>C766</v>
          </cell>
        </row>
        <row r="540">
          <cell r="F540">
            <v>3215</v>
          </cell>
          <cell r="I540" t="str">
            <v>C767</v>
          </cell>
        </row>
        <row r="541">
          <cell r="F541">
            <v>3216</v>
          </cell>
          <cell r="I541" t="str">
            <v>C768</v>
          </cell>
        </row>
        <row r="542">
          <cell r="F542">
            <v>3217</v>
          </cell>
          <cell r="I542" t="str">
            <v>C769</v>
          </cell>
        </row>
        <row r="543">
          <cell r="F543">
            <v>3218</v>
          </cell>
          <cell r="I543" t="str">
            <v>C770</v>
          </cell>
        </row>
        <row r="544">
          <cell r="F544">
            <v>3219</v>
          </cell>
          <cell r="I544" t="str">
            <v>C771</v>
          </cell>
          <cell r="J544" t="str">
            <v>CHWtr Pump_1</v>
          </cell>
        </row>
        <row r="545">
          <cell r="F545">
            <v>3220</v>
          </cell>
          <cell r="I545" t="str">
            <v>C772</v>
          </cell>
          <cell r="J545" t="str">
            <v>CHWtr Pump_2</v>
          </cell>
        </row>
        <row r="546">
          <cell r="F546">
            <v>3221</v>
          </cell>
          <cell r="I546" t="str">
            <v>C773</v>
          </cell>
          <cell r="J546" t="str">
            <v>CHWtr Pump_3</v>
          </cell>
        </row>
        <row r="547">
          <cell r="F547">
            <v>3222</v>
          </cell>
          <cell r="I547" t="str">
            <v>C774</v>
          </cell>
          <cell r="J547" t="str">
            <v>CHWtr Pump_4</v>
          </cell>
        </row>
        <row r="548">
          <cell r="F548">
            <v>3223</v>
          </cell>
          <cell r="I548" t="str">
            <v>C775</v>
          </cell>
        </row>
        <row r="549">
          <cell r="F549">
            <v>3224</v>
          </cell>
          <cell r="I549" t="str">
            <v>C776</v>
          </cell>
        </row>
        <row r="550">
          <cell r="F550">
            <v>3225</v>
          </cell>
          <cell r="I550" t="str">
            <v>C777</v>
          </cell>
        </row>
        <row r="551">
          <cell r="F551">
            <v>3226</v>
          </cell>
          <cell r="I551" t="str">
            <v>C778</v>
          </cell>
        </row>
        <row r="552">
          <cell r="F552">
            <v>3227</v>
          </cell>
          <cell r="I552" t="str">
            <v>C779</v>
          </cell>
        </row>
        <row r="553">
          <cell r="F553">
            <v>3228</v>
          </cell>
          <cell r="I553" t="str">
            <v>C780</v>
          </cell>
        </row>
        <row r="554">
          <cell r="F554">
            <v>3229</v>
          </cell>
          <cell r="I554" t="str">
            <v>C781</v>
          </cell>
          <cell r="J554" t="str">
            <v>HtgWtr Pump_1</v>
          </cell>
        </row>
        <row r="555">
          <cell r="F555">
            <v>3230</v>
          </cell>
          <cell r="I555" t="str">
            <v>C782</v>
          </cell>
          <cell r="J555" t="str">
            <v>HtgWtr Pump_2</v>
          </cell>
        </row>
        <row r="556">
          <cell r="F556">
            <v>3231</v>
          </cell>
          <cell r="I556" t="str">
            <v>C783</v>
          </cell>
          <cell r="J556" t="str">
            <v>HtgWtr Pump_3</v>
          </cell>
        </row>
        <row r="557">
          <cell r="F557">
            <v>3232</v>
          </cell>
          <cell r="I557" t="str">
            <v>C784</v>
          </cell>
          <cell r="J557" t="str">
            <v>HtgWtr Pump_4</v>
          </cell>
        </row>
        <row r="558">
          <cell r="F558">
            <v>3233</v>
          </cell>
          <cell r="I558" t="str">
            <v>C785</v>
          </cell>
        </row>
        <row r="559">
          <cell r="F559">
            <v>3234</v>
          </cell>
          <cell r="I559" t="str">
            <v>C786</v>
          </cell>
        </row>
        <row r="560">
          <cell r="F560">
            <v>3235</v>
          </cell>
          <cell r="I560" t="str">
            <v>C787</v>
          </cell>
          <cell r="J560" t="str">
            <v>GenSet Pump</v>
          </cell>
        </row>
        <row r="561">
          <cell r="F561">
            <v>3236</v>
          </cell>
          <cell r="I561" t="str">
            <v>C788</v>
          </cell>
        </row>
        <row r="562">
          <cell r="F562">
            <v>3237</v>
          </cell>
          <cell r="I562" t="str">
            <v>C789</v>
          </cell>
        </row>
        <row r="563">
          <cell r="F563">
            <v>3238</v>
          </cell>
          <cell r="I563" t="str">
            <v>C790</v>
          </cell>
          <cell r="J563" t="str">
            <v>ClgCoil_</v>
          </cell>
        </row>
        <row r="564">
          <cell r="F564">
            <v>3239</v>
          </cell>
          <cell r="I564" t="str">
            <v>C791</v>
          </cell>
          <cell r="J564" t="str">
            <v>Branch_ClgCoil_</v>
          </cell>
        </row>
        <row r="565">
          <cell r="F565">
            <v>3240</v>
          </cell>
          <cell r="I565" t="str">
            <v>C792</v>
          </cell>
        </row>
        <row r="566">
          <cell r="F566">
            <v>3241</v>
          </cell>
          <cell r="I566" t="str">
            <v>C793</v>
          </cell>
          <cell r="J566" t="str">
            <v>ClgCoil1_</v>
          </cell>
        </row>
        <row r="567">
          <cell r="F567">
            <v>3242</v>
          </cell>
          <cell r="I567" t="str">
            <v>C794</v>
          </cell>
          <cell r="J567" t="str">
            <v>ClgCoil2_</v>
          </cell>
        </row>
        <row r="568">
          <cell r="F568">
            <v>3243</v>
          </cell>
          <cell r="I568" t="str">
            <v>C795</v>
          </cell>
        </row>
        <row r="569">
          <cell r="F569">
            <v>3244</v>
          </cell>
          <cell r="I569" t="str">
            <v>C796</v>
          </cell>
        </row>
        <row r="570">
          <cell r="F570">
            <v>3245</v>
          </cell>
          <cell r="I570" t="str">
            <v>C797</v>
          </cell>
        </row>
        <row r="571">
          <cell r="F571">
            <v>3246</v>
          </cell>
          <cell r="I571" t="str">
            <v>C798</v>
          </cell>
        </row>
        <row r="572">
          <cell r="F572">
            <v>3247</v>
          </cell>
          <cell r="I572" t="str">
            <v>C799</v>
          </cell>
        </row>
        <row r="573">
          <cell r="F573">
            <v>3248</v>
          </cell>
          <cell r="I573" t="str">
            <v>C800</v>
          </cell>
        </row>
        <row r="574">
          <cell r="F574">
            <v>3249</v>
          </cell>
          <cell r="I574" t="str">
            <v>C801</v>
          </cell>
          <cell r="J574" t="str">
            <v>RM_1</v>
          </cell>
        </row>
        <row r="575">
          <cell r="F575">
            <v>3250</v>
          </cell>
          <cell r="I575" t="str">
            <v>C802</v>
          </cell>
          <cell r="J575" t="str">
            <v>RM_2</v>
          </cell>
        </row>
        <row r="576">
          <cell r="F576">
            <v>3251</v>
          </cell>
          <cell r="I576" t="str">
            <v>C803</v>
          </cell>
          <cell r="J576" t="str">
            <v>RM_3</v>
          </cell>
        </row>
        <row r="577">
          <cell r="F577">
            <v>3252</v>
          </cell>
          <cell r="I577" t="str">
            <v>C804</v>
          </cell>
          <cell r="J577" t="str">
            <v>RM_4</v>
          </cell>
        </row>
        <row r="578">
          <cell r="F578">
            <v>3253</v>
          </cell>
          <cell r="I578" t="str">
            <v>C805</v>
          </cell>
          <cell r="J578" t="str">
            <v>RM_5</v>
          </cell>
        </row>
        <row r="579">
          <cell r="F579">
            <v>3254</v>
          </cell>
          <cell r="I579" t="str">
            <v>C806</v>
          </cell>
        </row>
        <row r="580">
          <cell r="F580">
            <v>3255</v>
          </cell>
          <cell r="I580" t="str">
            <v>C807</v>
          </cell>
        </row>
        <row r="581">
          <cell r="F581">
            <v>3256</v>
          </cell>
          <cell r="I581" t="str">
            <v>C808</v>
          </cell>
        </row>
        <row r="582">
          <cell r="F582">
            <v>3257</v>
          </cell>
          <cell r="I582" t="str">
            <v>C809</v>
          </cell>
        </row>
        <row r="583">
          <cell r="F583">
            <v>3258</v>
          </cell>
          <cell r="I583" t="str">
            <v>C810</v>
          </cell>
          <cell r="J583" t="str">
            <v>DXClgCap-FT_</v>
          </cell>
        </row>
        <row r="584">
          <cell r="F584">
            <v>3259</v>
          </cell>
          <cell r="I584" t="str">
            <v>C811</v>
          </cell>
          <cell r="J584" t="str">
            <v>DXClgEIR-FT_</v>
          </cell>
        </row>
        <row r="585">
          <cell r="F585">
            <v>3260</v>
          </cell>
          <cell r="I585" t="str">
            <v>C812</v>
          </cell>
          <cell r="J585" t="str">
            <v>DXClgCap-FF_</v>
          </cell>
        </row>
        <row r="586">
          <cell r="F586">
            <v>3261</v>
          </cell>
          <cell r="I586" t="str">
            <v>C813</v>
          </cell>
          <cell r="J586" t="str">
            <v>DXClgEIR-FF_</v>
          </cell>
        </row>
        <row r="587">
          <cell r="F587">
            <v>3262</v>
          </cell>
          <cell r="I587" t="str">
            <v>C814</v>
          </cell>
          <cell r="J587" t="str">
            <v>DXClgPLF_</v>
          </cell>
        </row>
        <row r="588">
          <cell r="F588">
            <v>3263</v>
          </cell>
          <cell r="I588" t="str">
            <v>C815</v>
          </cell>
          <cell r="J588" t="str">
            <v>DXRhtCap-FT_</v>
          </cell>
        </row>
        <row r="589">
          <cell r="F589">
            <v>3264</v>
          </cell>
          <cell r="I589" t="str">
            <v>C816</v>
          </cell>
          <cell r="J589" t="str">
            <v>DXRhtEIR-FT_</v>
          </cell>
        </row>
        <row r="590">
          <cell r="F590">
            <v>3265</v>
          </cell>
          <cell r="I590" t="str">
            <v>C817</v>
          </cell>
        </row>
        <row r="591">
          <cell r="F591">
            <v>3266</v>
          </cell>
          <cell r="I591" t="str">
            <v>C818</v>
          </cell>
        </row>
        <row r="592">
          <cell r="F592">
            <v>3267</v>
          </cell>
          <cell r="I592" t="str">
            <v>C819</v>
          </cell>
        </row>
        <row r="593">
          <cell r="F593">
            <v>3268</v>
          </cell>
          <cell r="I593" t="str">
            <v>C820</v>
          </cell>
          <cell r="J593" t="str">
            <v>DXHtgCap-FT_</v>
          </cell>
        </row>
        <row r="594">
          <cell r="F594">
            <v>3269</v>
          </cell>
          <cell r="I594" t="str">
            <v>C821</v>
          </cell>
          <cell r="J594" t="str">
            <v>DXHtgEIR-FT_</v>
          </cell>
        </row>
        <row r="595">
          <cell r="F595">
            <v>3270</v>
          </cell>
          <cell r="I595" t="str">
            <v>C822</v>
          </cell>
          <cell r="J595" t="str">
            <v>DXHtgCap-FF_</v>
          </cell>
        </row>
        <row r="596">
          <cell r="F596">
            <v>3271</v>
          </cell>
          <cell r="I596" t="str">
            <v>C823</v>
          </cell>
          <cell r="J596" t="str">
            <v>DXHtgEIR-FF_</v>
          </cell>
        </row>
        <row r="597">
          <cell r="F597">
            <v>3272</v>
          </cell>
          <cell r="I597" t="str">
            <v>C824</v>
          </cell>
          <cell r="J597" t="str">
            <v>DXHtgPLF_</v>
          </cell>
        </row>
        <row r="598">
          <cell r="F598">
            <v>3273</v>
          </cell>
          <cell r="I598" t="str">
            <v>C825</v>
          </cell>
          <cell r="J598" t="str">
            <v>DXHtgDefEIR-FT_</v>
          </cell>
        </row>
        <row r="599">
          <cell r="F599">
            <v>3274</v>
          </cell>
          <cell r="I599" t="str">
            <v>C826</v>
          </cell>
        </row>
        <row r="600">
          <cell r="F600">
            <v>3275</v>
          </cell>
          <cell r="I600" t="str">
            <v>C827</v>
          </cell>
        </row>
        <row r="601">
          <cell r="F601">
            <v>3276</v>
          </cell>
          <cell r="I601" t="str">
            <v>C828</v>
          </cell>
        </row>
        <row r="602">
          <cell r="F602">
            <v>3277</v>
          </cell>
          <cell r="I602" t="str">
            <v>C829</v>
          </cell>
        </row>
        <row r="603">
          <cell r="F603">
            <v>3278</v>
          </cell>
          <cell r="I603" t="str">
            <v>C830</v>
          </cell>
          <cell r="J603" t="str">
            <v>HtgCoil PLF-FPLR_</v>
          </cell>
        </row>
        <row r="604">
          <cell r="F604">
            <v>3279</v>
          </cell>
          <cell r="I604" t="str">
            <v>C831</v>
          </cell>
        </row>
        <row r="605">
          <cell r="F605">
            <v>3280</v>
          </cell>
          <cell r="I605" t="str">
            <v>C832</v>
          </cell>
        </row>
        <row r="606">
          <cell r="F606">
            <v>3281</v>
          </cell>
          <cell r="I606" t="str">
            <v>C833</v>
          </cell>
        </row>
        <row r="607">
          <cell r="F607">
            <v>3282</v>
          </cell>
          <cell r="I607" t="str">
            <v>C834</v>
          </cell>
        </row>
        <row r="608">
          <cell r="I608" t="str">
            <v>C835</v>
          </cell>
        </row>
        <row r="609">
          <cell r="I609" t="str">
            <v>C836</v>
          </cell>
        </row>
        <row r="610">
          <cell r="I610" t="str">
            <v>C837</v>
          </cell>
        </row>
        <row r="611">
          <cell r="I611" t="str">
            <v>C838</v>
          </cell>
        </row>
        <row r="612">
          <cell r="I612" t="str">
            <v>C839</v>
          </cell>
        </row>
        <row r="613">
          <cell r="I613" t="str">
            <v>C840</v>
          </cell>
          <cell r="J613" t="str">
            <v>VRFClgCap-FTlo_</v>
          </cell>
        </row>
        <row r="614">
          <cell r="I614" t="str">
            <v>C841</v>
          </cell>
          <cell r="J614" t="str">
            <v>VRFClgCapBound_</v>
          </cell>
        </row>
        <row r="615">
          <cell r="I615" t="str">
            <v>C842</v>
          </cell>
          <cell r="J615" t="str">
            <v>VRFClgCap-FThi_</v>
          </cell>
        </row>
        <row r="616">
          <cell r="I616" t="str">
            <v>C843</v>
          </cell>
          <cell r="J616" t="str">
            <v>VRFClgEIR-FTlo_</v>
          </cell>
        </row>
        <row r="617">
          <cell r="I617" t="str">
            <v>C844</v>
          </cell>
          <cell r="J617" t="str">
            <v>VRFClgEIRBound_</v>
          </cell>
        </row>
        <row r="618">
          <cell r="I618" t="str">
            <v>C845</v>
          </cell>
          <cell r="J618" t="str">
            <v>VRFClgEIR-FThi_</v>
          </cell>
        </row>
        <row r="619">
          <cell r="I619" t="str">
            <v>C846</v>
          </cell>
          <cell r="J619" t="str">
            <v>VRFClgEIR-PLRlo_</v>
          </cell>
        </row>
        <row r="620">
          <cell r="I620" t="str">
            <v>C847</v>
          </cell>
          <cell r="J620" t="str">
            <v>VRFClgEIR-PLRhi_</v>
          </cell>
        </row>
        <row r="621">
          <cell r="I621" t="str">
            <v>C848</v>
          </cell>
          <cell r="J621" t="str">
            <v>VRFClgCombRat_</v>
          </cell>
        </row>
        <row r="622">
          <cell r="I622" t="str">
            <v>C849</v>
          </cell>
          <cell r="J622" t="str">
            <v>VRFClgPLFCorr_</v>
          </cell>
        </row>
        <row r="623">
          <cell r="I623" t="str">
            <v>C850</v>
          </cell>
        </row>
        <row r="624">
          <cell r="I624" t="str">
            <v>C851</v>
          </cell>
          <cell r="J624" t="str">
            <v>Boiler_1</v>
          </cell>
        </row>
        <row r="625">
          <cell r="I625" t="str">
            <v>C852</v>
          </cell>
          <cell r="J625" t="str">
            <v>Boiler_2</v>
          </cell>
        </row>
        <row r="626">
          <cell r="I626" t="str">
            <v>C853</v>
          </cell>
          <cell r="J626" t="str">
            <v>Boiler_3</v>
          </cell>
        </row>
        <row r="627">
          <cell r="I627" t="str">
            <v>C854</v>
          </cell>
          <cell r="J627" t="str">
            <v>Boiler_4</v>
          </cell>
        </row>
        <row r="628">
          <cell r="I628" t="str">
            <v>C855</v>
          </cell>
        </row>
        <row r="629">
          <cell r="I629" t="str">
            <v>C856</v>
          </cell>
        </row>
        <row r="630">
          <cell r="I630" t="str">
            <v>C857</v>
          </cell>
        </row>
        <row r="631">
          <cell r="I631" t="str">
            <v>C858</v>
          </cell>
        </row>
        <row r="632">
          <cell r="I632" t="str">
            <v>C859</v>
          </cell>
        </row>
        <row r="633">
          <cell r="I633" t="str">
            <v>C860</v>
          </cell>
          <cell r="J633" t="str">
            <v>PFP_Fan_</v>
          </cell>
        </row>
        <row r="634">
          <cell r="I634" t="str">
            <v>C861</v>
          </cell>
        </row>
        <row r="635">
          <cell r="I635" t="str">
            <v>C862</v>
          </cell>
        </row>
        <row r="636">
          <cell r="I636" t="str">
            <v>C863</v>
          </cell>
        </row>
        <row r="637">
          <cell r="I637" t="str">
            <v>C864</v>
          </cell>
        </row>
        <row r="638">
          <cell r="I638" t="str">
            <v>C865</v>
          </cell>
        </row>
        <row r="639">
          <cell r="I639" t="str">
            <v>C866</v>
          </cell>
        </row>
        <row r="640">
          <cell r="I640" t="str">
            <v>C867</v>
          </cell>
        </row>
        <row r="641">
          <cell r="I641" t="str">
            <v>C868</v>
          </cell>
        </row>
        <row r="642">
          <cell r="I642" t="str">
            <v>C869</v>
          </cell>
        </row>
        <row r="643">
          <cell r="I643" t="str">
            <v>C870</v>
          </cell>
          <cell r="J643" t="str">
            <v>FluidCooler_1</v>
          </cell>
        </row>
        <row r="644">
          <cell r="I644" t="str">
            <v>C871</v>
          </cell>
        </row>
        <row r="645">
          <cell r="I645" t="str">
            <v>C872</v>
          </cell>
        </row>
        <row r="646">
          <cell r="I646" t="str">
            <v>C873</v>
          </cell>
        </row>
        <row r="647">
          <cell r="I647" t="str">
            <v>C874</v>
          </cell>
        </row>
        <row r="648">
          <cell r="I648" t="str">
            <v>C875</v>
          </cell>
        </row>
        <row r="649">
          <cell r="I649" t="str">
            <v>C876</v>
          </cell>
        </row>
        <row r="650">
          <cell r="I650" t="str">
            <v>C877</v>
          </cell>
        </row>
        <row r="651">
          <cell r="I651" t="str">
            <v>C878</v>
          </cell>
        </row>
        <row r="652">
          <cell r="I652" t="str">
            <v>C879</v>
          </cell>
        </row>
        <row r="653">
          <cell r="I653" t="str">
            <v>C880</v>
          </cell>
          <cell r="J653" t="str">
            <v>CoolingTower1</v>
          </cell>
        </row>
        <row r="654">
          <cell r="I654" t="str">
            <v>C881</v>
          </cell>
          <cell r="J654" t="str">
            <v>CoolingTower2</v>
          </cell>
        </row>
        <row r="655">
          <cell r="I655" t="str">
            <v>C882</v>
          </cell>
          <cell r="J655" t="str">
            <v>CoolingTower3</v>
          </cell>
        </row>
        <row r="656">
          <cell r="I656" t="str">
            <v>C883</v>
          </cell>
          <cell r="J656" t="str">
            <v>CoolingTower4</v>
          </cell>
        </row>
        <row r="657">
          <cell r="I657" t="str">
            <v>C884</v>
          </cell>
        </row>
        <row r="658">
          <cell r="I658" t="str">
            <v>C885</v>
          </cell>
        </row>
        <row r="659">
          <cell r="I659" t="str">
            <v>C886</v>
          </cell>
        </row>
        <row r="660">
          <cell r="I660" t="str">
            <v>C887</v>
          </cell>
        </row>
        <row r="661">
          <cell r="I661" t="str">
            <v>C888</v>
          </cell>
        </row>
        <row r="662">
          <cell r="I662" t="str">
            <v>C889</v>
          </cell>
        </row>
        <row r="663">
          <cell r="I663" t="str">
            <v>C890</v>
          </cell>
          <cell r="J663" t="str">
            <v>VRFHtgCap-FTlo_</v>
          </cell>
        </row>
        <row r="664">
          <cell r="I664" t="str">
            <v>C891</v>
          </cell>
          <cell r="J664" t="str">
            <v>VRFHtgCapBound_</v>
          </cell>
        </row>
        <row r="665">
          <cell r="I665" t="str">
            <v>C892</v>
          </cell>
          <cell r="J665" t="str">
            <v>VRFHtgCap-FThi_</v>
          </cell>
        </row>
        <row r="666">
          <cell r="I666" t="str">
            <v>C893</v>
          </cell>
          <cell r="J666" t="str">
            <v>VRFHtgEIR-FTlo_</v>
          </cell>
        </row>
        <row r="667">
          <cell r="I667" t="str">
            <v>C894</v>
          </cell>
          <cell r="J667" t="str">
            <v>VRFHtgEIRBound_</v>
          </cell>
        </row>
        <row r="668">
          <cell r="I668" t="str">
            <v>C895</v>
          </cell>
          <cell r="J668" t="str">
            <v>VRFHtgEIR-FThi_</v>
          </cell>
        </row>
        <row r="669">
          <cell r="I669" t="str">
            <v>C896</v>
          </cell>
          <cell r="J669" t="str">
            <v>VRFHtgEIR-PLRlo_</v>
          </cell>
        </row>
        <row r="670">
          <cell r="I670" t="str">
            <v>C897</v>
          </cell>
          <cell r="J670" t="str">
            <v>VRFHtgEIR-PLRhi_</v>
          </cell>
        </row>
        <row r="671">
          <cell r="I671" t="str">
            <v>C898</v>
          </cell>
          <cell r="J671" t="str">
            <v>VRFHtgCombRat_</v>
          </cell>
        </row>
        <row r="672">
          <cell r="I672" t="str">
            <v>C899</v>
          </cell>
          <cell r="J672" t="str">
            <v>VRFHtgPLFCorr_</v>
          </cell>
        </row>
        <row r="673">
          <cell r="I673" t="str">
            <v>C900</v>
          </cell>
          <cell r="J673" t="str">
            <v>BrLIST_CondWtr Supply</v>
          </cell>
        </row>
        <row r="674">
          <cell r="I674" t="str">
            <v>C901</v>
          </cell>
          <cell r="J674" t="str">
            <v>Branch_CondWtr Supply Inlet</v>
          </cell>
        </row>
        <row r="675">
          <cell r="I675" t="str">
            <v>C902</v>
          </cell>
          <cell r="J675" t="str">
            <v>Branch_CondWtr Supply Boiler1</v>
          </cell>
        </row>
        <row r="676">
          <cell r="I676" t="str">
            <v>C903</v>
          </cell>
          <cell r="J676" t="str">
            <v>Branch_CondWtr Supply FluidCool</v>
          </cell>
        </row>
        <row r="677">
          <cell r="I677" t="str">
            <v>C904</v>
          </cell>
          <cell r="J677" t="str">
            <v>Branch_CondWtr Supply Bypass</v>
          </cell>
        </row>
        <row r="678">
          <cell r="I678" t="str">
            <v>C905</v>
          </cell>
          <cell r="J678" t="str">
            <v>Branch_CondWtr Supply Outlet</v>
          </cell>
        </row>
        <row r="679">
          <cell r="I679" t="str">
            <v>C906</v>
          </cell>
        </row>
        <row r="680">
          <cell r="I680" t="str">
            <v>C907</v>
          </cell>
        </row>
        <row r="681">
          <cell r="I681" t="str">
            <v>C908</v>
          </cell>
        </row>
        <row r="682">
          <cell r="I682" t="str">
            <v>C909</v>
          </cell>
        </row>
        <row r="683">
          <cell r="I683" t="str">
            <v>C910</v>
          </cell>
          <cell r="J683" t="str">
            <v>ConnLIST_CondWtr Supply</v>
          </cell>
        </row>
        <row r="684">
          <cell r="I684" t="str">
            <v>C911</v>
          </cell>
          <cell r="J684" t="str">
            <v>Splitter_CondWtr Supply</v>
          </cell>
        </row>
        <row r="685">
          <cell r="I685" t="str">
            <v>C912</v>
          </cell>
          <cell r="J685" t="str">
            <v>Mixer_CondWtr Supply</v>
          </cell>
        </row>
        <row r="686">
          <cell r="I686" t="str">
            <v>C913</v>
          </cell>
        </row>
        <row r="687">
          <cell r="I687" t="str">
            <v>C914</v>
          </cell>
        </row>
        <row r="688">
          <cell r="I688" t="str">
            <v>C915</v>
          </cell>
        </row>
        <row r="689">
          <cell r="I689" t="str">
            <v>C916</v>
          </cell>
        </row>
        <row r="690">
          <cell r="I690" t="str">
            <v>C917</v>
          </cell>
        </row>
        <row r="691">
          <cell r="I691" t="str">
            <v>C918</v>
          </cell>
        </row>
        <row r="692">
          <cell r="I692" t="str">
            <v>C919</v>
          </cell>
          <cell r="J692" t="str">
            <v>BrLIST_CondWtr Demand</v>
          </cell>
        </row>
        <row r="693">
          <cell r="I693" t="str">
            <v>C920</v>
          </cell>
          <cell r="J693" t="str">
            <v>Branch_CondWtr Demand Inlet</v>
          </cell>
        </row>
        <row r="694">
          <cell r="I694" t="str">
            <v>C921</v>
          </cell>
          <cell r="J694" t="str">
            <v>Branch_ClgWtr HP_</v>
          </cell>
        </row>
        <row r="695">
          <cell r="I695" t="str">
            <v>C922</v>
          </cell>
        </row>
        <row r="696">
          <cell r="I696" t="str">
            <v>C923</v>
          </cell>
        </row>
        <row r="697">
          <cell r="I697" t="str">
            <v>C924</v>
          </cell>
        </row>
        <row r="698">
          <cell r="I698" t="str">
            <v>C925</v>
          </cell>
        </row>
        <row r="699">
          <cell r="I699" t="str">
            <v>C926</v>
          </cell>
        </row>
        <row r="700">
          <cell r="I700" t="str">
            <v>C927</v>
          </cell>
        </row>
        <row r="701">
          <cell r="I701" t="str">
            <v>C928</v>
          </cell>
        </row>
        <row r="702">
          <cell r="I702" t="str">
            <v>C929</v>
          </cell>
        </row>
        <row r="703">
          <cell r="I703" t="str">
            <v>C930</v>
          </cell>
        </row>
        <row r="704">
          <cell r="I704" t="str">
            <v>C931</v>
          </cell>
          <cell r="J704" t="str">
            <v>Branch_HTGWtr HP_</v>
          </cell>
        </row>
        <row r="705">
          <cell r="I705" t="str">
            <v>C932</v>
          </cell>
        </row>
        <row r="706">
          <cell r="I706" t="str">
            <v>C933</v>
          </cell>
        </row>
        <row r="707">
          <cell r="I707" t="str">
            <v>C934</v>
          </cell>
        </row>
        <row r="708">
          <cell r="I708" t="str">
            <v>C935</v>
          </cell>
        </row>
        <row r="709">
          <cell r="I709" t="str">
            <v>C936</v>
          </cell>
        </row>
        <row r="710">
          <cell r="I710" t="str">
            <v>C937</v>
          </cell>
        </row>
        <row r="711">
          <cell r="I711" t="str">
            <v>C938</v>
          </cell>
        </row>
        <row r="712">
          <cell r="I712" t="str">
            <v>C939</v>
          </cell>
        </row>
        <row r="713">
          <cell r="I713" t="str">
            <v>C940</v>
          </cell>
          <cell r="J713" t="str">
            <v>McycHMX_</v>
          </cell>
        </row>
        <row r="714">
          <cell r="I714" t="str">
            <v>C941</v>
          </cell>
        </row>
        <row r="715">
          <cell r="I715" t="str">
            <v>C942</v>
          </cell>
        </row>
        <row r="716">
          <cell r="I716" t="str">
            <v>C943</v>
          </cell>
        </row>
        <row r="717">
          <cell r="I717" t="str">
            <v>C944</v>
          </cell>
        </row>
        <row r="718">
          <cell r="I718" t="str">
            <v>C945</v>
          </cell>
        </row>
        <row r="719">
          <cell r="I719" t="str">
            <v>C946</v>
          </cell>
        </row>
        <row r="720">
          <cell r="I720" t="str">
            <v>C947</v>
          </cell>
        </row>
        <row r="721">
          <cell r="I721" t="str">
            <v>C948</v>
          </cell>
        </row>
        <row r="722">
          <cell r="I722" t="str">
            <v>C949</v>
          </cell>
        </row>
        <row r="723">
          <cell r="I723" t="str">
            <v>C950</v>
          </cell>
          <cell r="J723" t="str">
            <v>CoilPerf_ClgStg1_</v>
          </cell>
        </row>
        <row r="724">
          <cell r="I724" t="str">
            <v>C951</v>
          </cell>
          <cell r="J724" t="str">
            <v>CoilPerf_ClgStg2_</v>
          </cell>
        </row>
        <row r="725">
          <cell r="I725" t="str">
            <v>C952</v>
          </cell>
          <cell r="J725" t="str">
            <v>CoilPerf_RhtStg1_</v>
          </cell>
        </row>
        <row r="726">
          <cell r="I726" t="str">
            <v>C953</v>
          </cell>
          <cell r="J726" t="str">
            <v>CoilPerf_RhtStg2_</v>
          </cell>
        </row>
        <row r="727">
          <cell r="I727" t="str">
            <v>C954</v>
          </cell>
        </row>
        <row r="728">
          <cell r="I728" t="str">
            <v>C955</v>
          </cell>
        </row>
        <row r="729">
          <cell r="I729" t="str">
            <v>C956</v>
          </cell>
        </row>
        <row r="730">
          <cell r="I730" t="str">
            <v>C957</v>
          </cell>
        </row>
        <row r="731">
          <cell r="I731" t="str">
            <v>C958</v>
          </cell>
        </row>
        <row r="732">
          <cell r="I732" t="str">
            <v>C959</v>
          </cell>
        </row>
        <row r="733">
          <cell r="I733" t="str">
            <v>C960</v>
          </cell>
        </row>
        <row r="734">
          <cell r="I734" t="str">
            <v>C961</v>
          </cell>
        </row>
        <row r="735">
          <cell r="I735" t="str">
            <v>C962</v>
          </cell>
        </row>
        <row r="736">
          <cell r="I736" t="str">
            <v>C963</v>
          </cell>
        </row>
        <row r="737">
          <cell r="I737" t="str">
            <v>C964</v>
          </cell>
        </row>
        <row r="738">
          <cell r="I738" t="str">
            <v>C965</v>
          </cell>
        </row>
        <row r="739">
          <cell r="I739" t="str">
            <v>C966</v>
          </cell>
        </row>
        <row r="740">
          <cell r="I740" t="str">
            <v>C967</v>
          </cell>
        </row>
        <row r="741">
          <cell r="I741" t="str">
            <v>C968</v>
          </cell>
        </row>
        <row r="742">
          <cell r="I742" t="str">
            <v>C969</v>
          </cell>
        </row>
        <row r="743">
          <cell r="I743" t="str">
            <v>C970</v>
          </cell>
        </row>
        <row r="744">
          <cell r="I744" t="str">
            <v>C971</v>
          </cell>
        </row>
        <row r="745">
          <cell r="I745" t="str">
            <v>C972</v>
          </cell>
        </row>
        <row r="746">
          <cell r="I746" t="str">
            <v>C973</v>
          </cell>
        </row>
        <row r="747">
          <cell r="I747" t="str">
            <v>C974</v>
          </cell>
        </row>
        <row r="748">
          <cell r="I748" t="str">
            <v>C975</v>
          </cell>
        </row>
        <row r="749">
          <cell r="I749" t="str">
            <v>C976</v>
          </cell>
        </row>
        <row r="750">
          <cell r="I750" t="str">
            <v>C977</v>
          </cell>
        </row>
        <row r="751">
          <cell r="I751" t="str">
            <v>C978</v>
          </cell>
        </row>
        <row r="752">
          <cell r="I752" t="str">
            <v>C979</v>
          </cell>
        </row>
        <row r="753">
          <cell r="I753" t="str">
            <v>S000</v>
          </cell>
          <cell r="J753" t="str">
            <v>SchCpct_AlwaysOn</v>
          </cell>
        </row>
        <row r="754">
          <cell r="I754" t="str">
            <v>S001</v>
          </cell>
          <cell r="J754" t="str">
            <v>SchCpct_NeverOn</v>
          </cell>
        </row>
        <row r="755">
          <cell r="I755" t="str">
            <v>S002</v>
          </cell>
          <cell r="J755" t="str">
            <v>SchCpct_WorkEffy</v>
          </cell>
        </row>
        <row r="756">
          <cell r="I756" t="str">
            <v>S003</v>
          </cell>
          <cell r="J756" t="str">
            <v>SchCpct_AirVel</v>
          </cell>
        </row>
        <row r="757">
          <cell r="I757" t="str">
            <v>S004</v>
          </cell>
          <cell r="J757" t="str">
            <v>SchCpct_CtrlType</v>
          </cell>
        </row>
        <row r="758">
          <cell r="I758" t="str">
            <v>S005</v>
          </cell>
          <cell r="J758" t="str">
            <v>SchCpct_ActivLvl_Low</v>
          </cell>
        </row>
        <row r="759">
          <cell r="I759" t="str">
            <v>S006</v>
          </cell>
          <cell r="J759" t="str">
            <v>SchCpct_Clothing</v>
          </cell>
        </row>
        <row r="760">
          <cell r="I760" t="str">
            <v>S007</v>
          </cell>
          <cell r="J760" t="str">
            <v>SchCpct_People</v>
          </cell>
        </row>
        <row r="761">
          <cell r="I761" t="str">
            <v>S008</v>
          </cell>
          <cell r="J761" t="str">
            <v>SchCpct_DomHW</v>
          </cell>
        </row>
        <row r="762">
          <cell r="I762" t="str">
            <v>S009</v>
          </cell>
          <cell r="J762" t="str">
            <v>SchCpct_Cooking</v>
          </cell>
        </row>
        <row r="763">
          <cell r="I763" t="str">
            <v>S010</v>
          </cell>
        </row>
        <row r="764">
          <cell r="I764" t="str">
            <v>S011</v>
          </cell>
        </row>
        <row r="765">
          <cell r="I765" t="str">
            <v>S012</v>
          </cell>
        </row>
        <row r="766">
          <cell r="I766" t="str">
            <v>S013</v>
          </cell>
          <cell r="J766" t="str">
            <v>SchCpct_People2</v>
          </cell>
        </row>
        <row r="767">
          <cell r="I767" t="str">
            <v>S014</v>
          </cell>
          <cell r="J767" t="str">
            <v>SchCpct_MinHMXOA</v>
          </cell>
        </row>
        <row r="768">
          <cell r="I768" t="str">
            <v>S015</v>
          </cell>
          <cell r="J768" t="str">
            <v>SchCpct_PlugLoad</v>
          </cell>
        </row>
        <row r="769">
          <cell r="I769" t="str">
            <v>S016</v>
          </cell>
          <cell r="J769" t="str">
            <v>SchCpct_Elevator</v>
          </cell>
        </row>
        <row r="770">
          <cell r="I770" t="str">
            <v>S017</v>
          </cell>
          <cell r="J770" t="str">
            <v>SchCpct_Ltg</v>
          </cell>
        </row>
        <row r="771">
          <cell r="I771" t="str">
            <v>S018</v>
          </cell>
        </row>
        <row r="772">
          <cell r="I772" t="str">
            <v>S019</v>
          </cell>
        </row>
        <row r="773">
          <cell r="I773" t="str">
            <v>S020</v>
          </cell>
          <cell r="J773" t="str">
            <v>SchCpct_FanOpern</v>
          </cell>
        </row>
        <row r="774">
          <cell r="I774" t="str">
            <v>S021</v>
          </cell>
          <cell r="J774" t="str">
            <v>SchCpct_DomHWSP</v>
          </cell>
        </row>
        <row r="775">
          <cell r="I775" t="str">
            <v>S022</v>
          </cell>
          <cell r="J775" t="str">
            <v>SchCpct_DomCWSP</v>
          </cell>
        </row>
        <row r="776">
          <cell r="I776" t="str">
            <v>S023</v>
          </cell>
          <cell r="J776" t="str">
            <v>SchCpct_PoolWtrSP</v>
          </cell>
        </row>
        <row r="777">
          <cell r="I777" t="str">
            <v>S024</v>
          </cell>
        </row>
        <row r="778">
          <cell r="I778" t="str">
            <v>S025</v>
          </cell>
          <cell r="J778" t="str">
            <v>SchCpct_CHWtr</v>
          </cell>
        </row>
        <row r="779">
          <cell r="I779" t="str">
            <v>S026</v>
          </cell>
          <cell r="J779" t="str">
            <v>SchCpct_HtgWtr</v>
          </cell>
        </row>
        <row r="780">
          <cell r="I780" t="str">
            <v>S027</v>
          </cell>
          <cell r="J780" t="str">
            <v>SchCpct_GenSetWtr</v>
          </cell>
        </row>
        <row r="781">
          <cell r="I781" t="str">
            <v>S028</v>
          </cell>
        </row>
        <row r="782">
          <cell r="I782" t="str">
            <v>S029</v>
          </cell>
        </row>
        <row r="783">
          <cell r="I783" t="str">
            <v>S030</v>
          </cell>
          <cell r="J783" t="str">
            <v>SchCpct_HtgSP1</v>
          </cell>
        </row>
        <row r="784">
          <cell r="I784" t="str">
            <v>S031</v>
          </cell>
          <cell r="J784" t="str">
            <v>SchCpct_HtgSP2</v>
          </cell>
        </row>
        <row r="785">
          <cell r="I785" t="str">
            <v>S032</v>
          </cell>
          <cell r="J785" t="str">
            <v>SchCpct_HtgSP3</v>
          </cell>
        </row>
        <row r="786">
          <cell r="I786" t="str">
            <v>S033</v>
          </cell>
          <cell r="J786" t="str">
            <v>SchCpct_HtgSP4</v>
          </cell>
        </row>
        <row r="787">
          <cell r="I787" t="str">
            <v>S034</v>
          </cell>
          <cell r="J787" t="str">
            <v>SchCpct_Always-40</v>
          </cell>
        </row>
        <row r="788">
          <cell r="I788" t="str">
            <v>S035</v>
          </cell>
        </row>
        <row r="789">
          <cell r="I789" t="str">
            <v>S036</v>
          </cell>
        </row>
        <row r="790">
          <cell r="I790" t="str">
            <v>S037</v>
          </cell>
        </row>
        <row r="791">
          <cell r="I791" t="str">
            <v>S038</v>
          </cell>
        </row>
        <row r="792">
          <cell r="I792" t="str">
            <v>S039</v>
          </cell>
        </row>
        <row r="793">
          <cell r="I793" t="str">
            <v>S040</v>
          </cell>
          <cell r="J793" t="str">
            <v>SchCpct_ClgSP1</v>
          </cell>
        </row>
        <row r="794">
          <cell r="I794" t="str">
            <v>S041</v>
          </cell>
          <cell r="J794" t="str">
            <v>SchCpct_ClgSP2</v>
          </cell>
        </row>
        <row r="795">
          <cell r="I795" t="str">
            <v>S042</v>
          </cell>
          <cell r="J795" t="str">
            <v>SchCpct_ClgSP3</v>
          </cell>
        </row>
        <row r="796">
          <cell r="I796" t="str">
            <v>S043</v>
          </cell>
          <cell r="J796" t="str">
            <v>SchCpct_ClgSP4</v>
          </cell>
        </row>
        <row r="797">
          <cell r="I797" t="str">
            <v>S044</v>
          </cell>
          <cell r="J797" t="str">
            <v>SchCpct_Always140F</v>
          </cell>
        </row>
        <row r="798">
          <cell r="I798" t="str">
            <v>S045</v>
          </cell>
          <cell r="J798" t="str">
            <v>SchCpct_Always55F</v>
          </cell>
        </row>
        <row r="799">
          <cell r="I799" t="str">
            <v>S046</v>
          </cell>
          <cell r="J799" t="str">
            <v>SchCpct_Always66F</v>
          </cell>
        </row>
        <row r="800">
          <cell r="I800" t="str">
            <v>S047</v>
          </cell>
          <cell r="J800" t="str">
            <v>SchCpct_Always70F</v>
          </cell>
        </row>
        <row r="801">
          <cell r="I801" t="str">
            <v>S048</v>
          </cell>
          <cell r="J801" t="str">
            <v>SchCpct_Always80F</v>
          </cell>
        </row>
        <row r="802">
          <cell r="I802" t="str">
            <v>S049</v>
          </cell>
        </row>
        <row r="803">
          <cell r="I803" t="str">
            <v>S050</v>
          </cell>
        </row>
        <row r="804">
          <cell r="I804" t="str">
            <v>S060</v>
          </cell>
          <cell r="J804" t="str">
            <v>SchCpct_RHSP50</v>
          </cell>
        </row>
        <row r="805">
          <cell r="I805" t="str">
            <v>S061</v>
          </cell>
          <cell r="J805" t="str">
            <v>SchCpct_RHSP55</v>
          </cell>
        </row>
        <row r="806">
          <cell r="I806" t="str">
            <v>S062</v>
          </cell>
          <cell r="J806" t="str">
            <v>SchCpct_RHSP65</v>
          </cell>
        </row>
        <row r="807">
          <cell r="I807" t="str">
            <v>S063</v>
          </cell>
        </row>
        <row r="808">
          <cell r="I808" t="str">
            <v>S064</v>
          </cell>
        </row>
        <row r="809">
          <cell r="I809" t="str">
            <v>S065</v>
          </cell>
          <cell r="J809" t="str">
            <v>SchCpct_HumRatSP_1</v>
          </cell>
        </row>
        <row r="810">
          <cell r="I810" t="str">
            <v>S066</v>
          </cell>
        </row>
        <row r="811">
          <cell r="I811" t="str">
            <v>S067</v>
          </cell>
        </row>
        <row r="812">
          <cell r="I812" t="str">
            <v>S068</v>
          </cell>
        </row>
        <row r="813">
          <cell r="I813" t="str">
            <v>S069</v>
          </cell>
        </row>
        <row r="814">
          <cell r="I814" t="str">
            <v>S070</v>
          </cell>
          <cell r="J814" t="str">
            <v>SchCpct_TowerBlowdn</v>
          </cell>
        </row>
        <row r="815">
          <cell r="I815" t="str">
            <v>S071</v>
          </cell>
          <cell r="J815" t="str">
            <v>SchCpct_MorningWarmup</v>
          </cell>
        </row>
        <row r="816">
          <cell r="I816" t="str">
            <v>S072</v>
          </cell>
          <cell r="J816" t="str">
            <v>SchCpct_PoolEvap</v>
          </cell>
        </row>
        <row r="817">
          <cell r="I817" t="str">
            <v>S073</v>
          </cell>
        </row>
        <row r="818">
          <cell r="I818" t="str">
            <v>S074</v>
          </cell>
        </row>
        <row r="819">
          <cell r="I819" t="str">
            <v>S075</v>
          </cell>
          <cell r="J819" t="str">
            <v>SchCpct_UnivLecture</v>
          </cell>
        </row>
        <row r="820">
          <cell r="I820" t="str">
            <v>S076</v>
          </cell>
        </row>
        <row r="821">
          <cell r="I821" t="str">
            <v>S077</v>
          </cell>
        </row>
        <row r="822">
          <cell r="I822" t="str">
            <v>S078</v>
          </cell>
        </row>
        <row r="823">
          <cell r="I823" t="str">
            <v>S079</v>
          </cell>
        </row>
        <row r="824">
          <cell r="I824" t="str">
            <v>S080</v>
          </cell>
          <cell r="J824" t="str">
            <v>SchCpct_PoolEvap1</v>
          </cell>
        </row>
        <row r="825">
          <cell r="I825" t="str">
            <v>S081</v>
          </cell>
          <cell r="J825" t="str">
            <v>SchCpct_PoolEvap2</v>
          </cell>
        </row>
        <row r="826">
          <cell r="I826" t="str">
            <v>S082</v>
          </cell>
        </row>
        <row r="827">
          <cell r="I827" t="str">
            <v>S083</v>
          </cell>
        </row>
        <row r="828">
          <cell r="I828" t="str">
            <v>S084</v>
          </cell>
        </row>
        <row r="829">
          <cell r="I829" t="str">
            <v>S085</v>
          </cell>
          <cell r="J829" t="str">
            <v>SchFile_MaxOA</v>
          </cell>
        </row>
        <row r="830">
          <cell r="I830" t="str">
            <v>S086</v>
          </cell>
        </row>
        <row r="831">
          <cell r="I831" t="str">
            <v>S087</v>
          </cell>
        </row>
        <row r="832">
          <cell r="I832" t="str">
            <v>S088</v>
          </cell>
        </row>
        <row r="833">
          <cell r="I833" t="str">
            <v>S089</v>
          </cell>
        </row>
        <row r="834">
          <cell r="I834" t="str">
            <v>S090</v>
          </cell>
          <cell r="J834" t="str">
            <v>SchCpct_HtgAvail_1</v>
          </cell>
        </row>
        <row r="835">
          <cell r="I835" t="str">
            <v>S091</v>
          </cell>
          <cell r="J835" t="str">
            <v>SchCpct_HtgAvail_2</v>
          </cell>
        </row>
        <row r="836">
          <cell r="I836" t="str">
            <v>S092</v>
          </cell>
        </row>
        <row r="837">
          <cell r="I837" t="str">
            <v>S093</v>
          </cell>
        </row>
        <row r="838">
          <cell r="I838" t="str">
            <v>S094</v>
          </cell>
        </row>
        <row r="839">
          <cell r="I839" t="str">
            <v>S095</v>
          </cell>
          <cell r="J839" t="str">
            <v>SchCpct_CO2rm</v>
          </cell>
        </row>
        <row r="840">
          <cell r="I840" t="str">
            <v>S096</v>
          </cell>
          <cell r="J840" t="str">
            <v>SchCpct_CO2oa</v>
          </cell>
        </row>
        <row r="841">
          <cell r="I841" t="str">
            <v>S097</v>
          </cell>
        </row>
        <row r="842">
          <cell r="I842" t="str">
            <v>S098</v>
          </cell>
        </row>
        <row r="843">
          <cell r="I843" t="str">
            <v>S099</v>
          </cell>
        </row>
        <row r="844">
          <cell r="I844" t="str">
            <v>S100</v>
          </cell>
          <cell r="J844" t="str">
            <v>SchCpct_ClgAvail_1</v>
          </cell>
        </row>
        <row r="845">
          <cell r="I845" t="str">
            <v>S101</v>
          </cell>
          <cell r="J845" t="str">
            <v>SchCpct_ClgAvail_2</v>
          </cell>
        </row>
        <row r="846">
          <cell r="I846" t="str">
            <v>S102</v>
          </cell>
          <cell r="J846" t="str">
            <v>SchCpct_LowTempClgOFF</v>
          </cell>
        </row>
        <row r="847">
          <cell r="I847" t="str">
            <v>S103</v>
          </cell>
        </row>
        <row r="848">
          <cell r="I848" t="str">
            <v>S104</v>
          </cell>
        </row>
        <row r="849">
          <cell r="I849" t="str">
            <v>S105</v>
          </cell>
          <cell r="J849" t="str">
            <v>SchCpct_HMXAvail_1</v>
          </cell>
        </row>
        <row r="850">
          <cell r="I850" t="str">
            <v>S106</v>
          </cell>
        </row>
        <row r="851">
          <cell r="I851" t="str">
            <v>S107</v>
          </cell>
          <cell r="J851" t="str">
            <v>SchCpct_OnPeak Generator</v>
          </cell>
        </row>
        <row r="852">
          <cell r="I852" t="str">
            <v>S108</v>
          </cell>
          <cell r="J852" t="str">
            <v>SchCpct_OffPeak Generator</v>
          </cell>
        </row>
        <row r="853">
          <cell r="I853" t="str">
            <v>S109</v>
          </cell>
        </row>
        <row r="854">
          <cell r="I854" t="str">
            <v>S110</v>
          </cell>
          <cell r="J854" t="str">
            <v>SchCpct_FanHotel</v>
          </cell>
        </row>
        <row r="855">
          <cell r="I855" t="str">
            <v>S111</v>
          </cell>
        </row>
        <row r="856">
          <cell r="I856" t="str">
            <v>S112</v>
          </cell>
        </row>
        <row r="857">
          <cell r="I857" t="str">
            <v>S113</v>
          </cell>
          <cell r="J857" t="str">
            <v>SchCpct_PeopleHotel</v>
          </cell>
        </row>
        <row r="858">
          <cell r="I858" t="str">
            <v>S114</v>
          </cell>
        </row>
        <row r="859">
          <cell r="I859" t="str">
            <v>S115</v>
          </cell>
          <cell r="J859" t="str">
            <v>SchCpct_LtgPlugsHotel</v>
          </cell>
        </row>
        <row r="860">
          <cell r="I860" t="str">
            <v>S116</v>
          </cell>
          <cell r="J860" t="str">
            <v>SchCpct_ElevatorHotel</v>
          </cell>
        </row>
        <row r="861">
          <cell r="I861" t="str">
            <v>S117</v>
          </cell>
          <cell r="J861" t="str">
            <v>SchCpct_DHWHotel</v>
          </cell>
        </row>
        <row r="862">
          <cell r="I862" t="str">
            <v>S118</v>
          </cell>
          <cell r="J862" t="str">
            <v>SchCpct_HtgSPHotel</v>
          </cell>
        </row>
        <row r="863">
          <cell r="I863" t="str">
            <v>S119</v>
          </cell>
          <cell r="J863" t="str">
            <v>SchCpct_ClgSPHotel</v>
          </cell>
        </row>
        <row r="864">
          <cell r="I864" t="str">
            <v>S120</v>
          </cell>
          <cell r="J864" t="str">
            <v>SchCpct_FanRest</v>
          </cell>
        </row>
        <row r="865">
          <cell r="I865" t="str">
            <v>S121</v>
          </cell>
        </row>
        <row r="866">
          <cell r="I866" t="str">
            <v>S122</v>
          </cell>
        </row>
        <row r="867">
          <cell r="I867" t="str">
            <v>S123</v>
          </cell>
          <cell r="J867" t="str">
            <v>SchCpct_PeopleRest</v>
          </cell>
        </row>
        <row r="868">
          <cell r="I868" t="str">
            <v>S124</v>
          </cell>
          <cell r="J868" t="str">
            <v>SchCpct_CookingRest</v>
          </cell>
        </row>
        <row r="869">
          <cell r="I869" t="str">
            <v>S125</v>
          </cell>
          <cell r="J869" t="str">
            <v>SchCpct_LtgPlugsRest</v>
          </cell>
        </row>
        <row r="870">
          <cell r="I870" t="str">
            <v>S126</v>
          </cell>
          <cell r="J870" t="str">
            <v>SchCpct_ElevatorRest</v>
          </cell>
        </row>
        <row r="871">
          <cell r="I871" t="str">
            <v>S127</v>
          </cell>
          <cell r="J871" t="str">
            <v>SchCpct_DHWRest</v>
          </cell>
        </row>
        <row r="872">
          <cell r="I872" t="str">
            <v>S128</v>
          </cell>
          <cell r="J872" t="str">
            <v>SchCpct_HtgSPRest</v>
          </cell>
        </row>
        <row r="873">
          <cell r="I873" t="str">
            <v>S129</v>
          </cell>
          <cell r="J873" t="str">
            <v>SchCpct_ClgSPRest</v>
          </cell>
        </row>
        <row r="874">
          <cell r="I874" t="str">
            <v>S130</v>
          </cell>
          <cell r="J874" t="str">
            <v>SchCpct_FanOffice</v>
          </cell>
        </row>
        <row r="875">
          <cell r="I875" t="str">
            <v>S131</v>
          </cell>
        </row>
        <row r="876">
          <cell r="I876" t="str">
            <v>S132</v>
          </cell>
        </row>
        <row r="877">
          <cell r="I877" t="str">
            <v>S133</v>
          </cell>
          <cell r="J877" t="str">
            <v>SchCpct_PeopleOffice</v>
          </cell>
        </row>
        <row r="878">
          <cell r="I878" t="str">
            <v>S134</v>
          </cell>
        </row>
        <row r="879">
          <cell r="I879" t="str">
            <v>S135</v>
          </cell>
          <cell r="J879" t="str">
            <v>SchCpct_LtgPlugsOffice</v>
          </cell>
        </row>
        <row r="880">
          <cell r="I880" t="str">
            <v>S136</v>
          </cell>
          <cell r="J880" t="str">
            <v>SchCpct_ElevatorOffice</v>
          </cell>
        </row>
        <row r="881">
          <cell r="I881" t="str">
            <v>S137</v>
          </cell>
          <cell r="J881" t="str">
            <v>SchCpct_DHWOffice</v>
          </cell>
        </row>
        <row r="882">
          <cell r="I882" t="str">
            <v>S138</v>
          </cell>
          <cell r="J882" t="str">
            <v>SchCpct_HtgSPOfc</v>
          </cell>
        </row>
        <row r="883">
          <cell r="I883" t="str">
            <v>S139</v>
          </cell>
          <cell r="J883" t="str">
            <v>SchCpct_ClgSPOfc</v>
          </cell>
        </row>
        <row r="884">
          <cell r="I884" t="str">
            <v>S140</v>
          </cell>
          <cell r="J884" t="str">
            <v>SchCpct_FanAssy</v>
          </cell>
        </row>
        <row r="885">
          <cell r="I885" t="str">
            <v>S141</v>
          </cell>
        </row>
        <row r="886">
          <cell r="I886" t="str">
            <v>S142</v>
          </cell>
        </row>
        <row r="887">
          <cell r="I887" t="str">
            <v>S143</v>
          </cell>
          <cell r="J887" t="str">
            <v>SchCpct_PeopleAssy</v>
          </cell>
        </row>
        <row r="888">
          <cell r="I888" t="str">
            <v>S144</v>
          </cell>
        </row>
        <row r="889">
          <cell r="I889" t="str">
            <v>S145</v>
          </cell>
          <cell r="J889" t="str">
            <v>SchCpct_LtgPlugsAssy</v>
          </cell>
        </row>
        <row r="890">
          <cell r="I890" t="str">
            <v>S146</v>
          </cell>
          <cell r="J890" t="str">
            <v>SchCpct_ElevatorAssy</v>
          </cell>
        </row>
        <row r="891">
          <cell r="I891" t="str">
            <v>S147</v>
          </cell>
          <cell r="J891" t="str">
            <v>SchCpct_DHWAssy</v>
          </cell>
        </row>
        <row r="892">
          <cell r="I892" t="str">
            <v>S148</v>
          </cell>
          <cell r="J892" t="str">
            <v>SchCpct_HtgSPAssy</v>
          </cell>
        </row>
        <row r="893">
          <cell r="I893" t="str">
            <v>S149</v>
          </cell>
          <cell r="J893" t="str">
            <v>SchCpct_ClgSPAssy</v>
          </cell>
        </row>
        <row r="894">
          <cell r="I894" t="str">
            <v>S150</v>
          </cell>
          <cell r="J894" t="str">
            <v>SchCpct_FanRetail</v>
          </cell>
        </row>
        <row r="895">
          <cell r="I895" t="str">
            <v>S151</v>
          </cell>
        </row>
        <row r="896">
          <cell r="I896" t="str">
            <v>S152</v>
          </cell>
        </row>
        <row r="897">
          <cell r="I897" t="str">
            <v>S153</v>
          </cell>
          <cell r="J897" t="str">
            <v>SchCpct_PeopleRetail</v>
          </cell>
        </row>
        <row r="898">
          <cell r="I898" t="str">
            <v>S154</v>
          </cell>
        </row>
        <row r="899">
          <cell r="I899" t="str">
            <v>S155</v>
          </cell>
          <cell r="J899" t="str">
            <v>SchCpct_LtgPlugsRetail</v>
          </cell>
        </row>
        <row r="900">
          <cell r="I900" t="str">
            <v>S156</v>
          </cell>
          <cell r="J900" t="str">
            <v>SchCpct_ElevatorRetail</v>
          </cell>
        </row>
        <row r="901">
          <cell r="I901" t="str">
            <v>S157</v>
          </cell>
          <cell r="J901" t="str">
            <v>SchCpct_DHWRetail</v>
          </cell>
        </row>
        <row r="902">
          <cell r="I902" t="str">
            <v>S158</v>
          </cell>
          <cell r="J902" t="str">
            <v>SchCpct_HtgSPRetail</v>
          </cell>
        </row>
        <row r="903">
          <cell r="I903" t="str">
            <v>S159</v>
          </cell>
          <cell r="J903" t="str">
            <v>SchCpct_ClgSPRetail</v>
          </cell>
        </row>
        <row r="904">
          <cell r="I904" t="str">
            <v>S160</v>
          </cell>
          <cell r="J904" t="str">
            <v>SchCpct_FanPrSchool</v>
          </cell>
        </row>
        <row r="905">
          <cell r="I905" t="str">
            <v>S161</v>
          </cell>
          <cell r="J905" t="str">
            <v>SchCpct_PeopleSchlGym</v>
          </cell>
        </row>
        <row r="906">
          <cell r="I906" t="str">
            <v>S162</v>
          </cell>
          <cell r="J906" t="str">
            <v>SchCpct_PeopleSchlCafe</v>
          </cell>
        </row>
        <row r="907">
          <cell r="I907" t="str">
            <v>S163</v>
          </cell>
          <cell r="J907" t="str">
            <v>SchCpct_PeopleSchlGenl</v>
          </cell>
        </row>
        <row r="908">
          <cell r="I908" t="str">
            <v>S164</v>
          </cell>
          <cell r="J908" t="str">
            <v>SchCpct_CookingPrSchool</v>
          </cell>
        </row>
        <row r="909">
          <cell r="I909" t="str">
            <v>S165</v>
          </cell>
          <cell r="J909" t="str">
            <v>SchCpct_PlugsPrSchool</v>
          </cell>
        </row>
        <row r="910">
          <cell r="I910" t="str">
            <v>S166</v>
          </cell>
          <cell r="J910" t="str">
            <v>SchCpct_ElevatorPrSchool</v>
          </cell>
        </row>
        <row r="911">
          <cell r="I911" t="str">
            <v>S167</v>
          </cell>
          <cell r="J911" t="str">
            <v>SchCpct_DHWPrSchool</v>
          </cell>
        </row>
        <row r="912">
          <cell r="I912" t="str">
            <v>S168</v>
          </cell>
          <cell r="J912" t="str">
            <v>SchCpct_HtgSPPrSchool</v>
          </cell>
        </row>
        <row r="913">
          <cell r="I913" t="str">
            <v>S169</v>
          </cell>
          <cell r="J913" t="str">
            <v>SchCpct_ClgSPPrSchool</v>
          </cell>
        </row>
        <row r="914">
          <cell r="I914" t="str">
            <v>S170</v>
          </cell>
          <cell r="J914" t="str">
            <v>SchCpct_PeopleSchlOfc</v>
          </cell>
        </row>
        <row r="915">
          <cell r="I915" t="str">
            <v>S171</v>
          </cell>
          <cell r="J915" t="str">
            <v>SchCpct_LtgPrSchool</v>
          </cell>
        </row>
        <row r="916">
          <cell r="I916" t="str">
            <v>S172</v>
          </cell>
          <cell r="J916" t="str">
            <v>SchCpct_SchlKitElect</v>
          </cell>
        </row>
        <row r="917">
          <cell r="I917" t="str">
            <v>S173</v>
          </cell>
          <cell r="J917" t="str">
            <v>SchCpct_SchlKitGas</v>
          </cell>
        </row>
        <row r="918">
          <cell r="I918" t="str">
            <v>S174</v>
          </cell>
          <cell r="J918" t="str">
            <v>SchCpct_HtgSPSchlCommon</v>
          </cell>
        </row>
        <row r="919">
          <cell r="I919" t="str">
            <v>S175</v>
          </cell>
        </row>
        <row r="920">
          <cell r="I920" t="str">
            <v>S176</v>
          </cell>
        </row>
        <row r="921">
          <cell r="I921" t="str">
            <v>S177</v>
          </cell>
        </row>
        <row r="922">
          <cell r="I922" t="str">
            <v>S178</v>
          </cell>
        </row>
        <row r="923">
          <cell r="I923" t="str">
            <v>S200</v>
          </cell>
          <cell r="J923" t="str">
            <v>SchCpct_FanHotelMod</v>
          </cell>
        </row>
        <row r="924">
          <cell r="I924" t="str">
            <v>S201</v>
          </cell>
        </row>
        <row r="925">
          <cell r="I925" t="str">
            <v>S202</v>
          </cell>
        </row>
        <row r="926">
          <cell r="I926" t="str">
            <v>S203</v>
          </cell>
          <cell r="J926" t="str">
            <v>SchCpct_PeopleHotelMod</v>
          </cell>
        </row>
        <row r="927">
          <cell r="I927" t="str">
            <v>S204</v>
          </cell>
        </row>
        <row r="928">
          <cell r="I928" t="str">
            <v>S205</v>
          </cell>
          <cell r="J928" t="str">
            <v>SchCpct_LtgPlugsHotelMod</v>
          </cell>
        </row>
        <row r="929">
          <cell r="I929" t="str">
            <v>S206</v>
          </cell>
          <cell r="J929" t="str">
            <v>SchCpct_ElevatorHotelMod</v>
          </cell>
        </row>
        <row r="930">
          <cell r="I930" t="str">
            <v>S207</v>
          </cell>
          <cell r="J930" t="str">
            <v>SchCpct_DHWHotelMod</v>
          </cell>
        </row>
        <row r="931">
          <cell r="I931" t="str">
            <v>S208</v>
          </cell>
          <cell r="J931" t="str">
            <v>SchCpct_HtgSPHotelMod</v>
          </cell>
        </row>
        <row r="932">
          <cell r="I932" t="str">
            <v>S209</v>
          </cell>
          <cell r="J932" t="str">
            <v>SchCpct_ClgSPHotelMod</v>
          </cell>
        </row>
        <row r="933">
          <cell r="I933" t="str">
            <v>S210</v>
          </cell>
          <cell r="J933" t="str">
            <v>SchCpct_FanHotelMod2</v>
          </cell>
        </row>
        <row r="934">
          <cell r="I934" t="str">
            <v>S211</v>
          </cell>
        </row>
        <row r="935">
          <cell r="I935" t="str">
            <v>S212</v>
          </cell>
        </row>
        <row r="936">
          <cell r="I936" t="str">
            <v>S213</v>
          </cell>
          <cell r="J936" t="str">
            <v>SchCpct_PeopleHotelMod2</v>
          </cell>
        </row>
        <row r="937">
          <cell r="I937" t="str">
            <v>S214</v>
          </cell>
        </row>
        <row r="938">
          <cell r="I938" t="str">
            <v>S215</v>
          </cell>
          <cell r="J938" t="str">
            <v>SchCpct_LtgPlugsHotelMod2</v>
          </cell>
        </row>
        <row r="939">
          <cell r="I939" t="str">
            <v>S216</v>
          </cell>
          <cell r="J939" t="str">
            <v>SchCpct_ElevatorHotelMod2</v>
          </cell>
        </row>
        <row r="940">
          <cell r="I940" t="str">
            <v>S217</v>
          </cell>
          <cell r="J940" t="str">
            <v>SchCpct_DHWHotelMod2</v>
          </cell>
        </row>
        <row r="941">
          <cell r="I941" t="str">
            <v>S218</v>
          </cell>
          <cell r="J941" t="str">
            <v>SchCpct_HtgSPHotelMod2</v>
          </cell>
        </row>
        <row r="942">
          <cell r="I942" t="str">
            <v>S219</v>
          </cell>
          <cell r="J942" t="str">
            <v>SchCpct_ClgSPHotelMod2</v>
          </cell>
        </row>
        <row r="943">
          <cell r="I943" t="str">
            <v>S220</v>
          </cell>
          <cell r="J943" t="str">
            <v>SchCpct_FanSuperMkt</v>
          </cell>
        </row>
        <row r="944">
          <cell r="I944" t="str">
            <v>S221</v>
          </cell>
          <cell r="J944" t="str">
            <v>SchCpct_DeliSuperMkt</v>
          </cell>
        </row>
        <row r="945">
          <cell r="I945" t="str">
            <v>S222</v>
          </cell>
          <cell r="J945" t="str">
            <v>SchCpct_BakerySuperMkt</v>
          </cell>
        </row>
        <row r="946">
          <cell r="I946" t="str">
            <v>S223</v>
          </cell>
          <cell r="J946" t="str">
            <v>SchCpct_PeopleSuperMkt</v>
          </cell>
        </row>
        <row r="947">
          <cell r="I947" t="str">
            <v>S224</v>
          </cell>
          <cell r="J947" t="str">
            <v>SchCpct_PharmySuperMkt</v>
          </cell>
        </row>
        <row r="948">
          <cell r="I948" t="str">
            <v>S225</v>
          </cell>
          <cell r="J948" t="str">
            <v>SchCpct_LtgPlugsSuperMkt</v>
          </cell>
        </row>
        <row r="949">
          <cell r="I949" t="str">
            <v>S226</v>
          </cell>
          <cell r="J949" t="str">
            <v>SchCpct_RecDockSuperMkt</v>
          </cell>
        </row>
        <row r="950">
          <cell r="I950" t="str">
            <v>S227</v>
          </cell>
          <cell r="J950" t="str">
            <v>SchCpct_DHWSuperMkt</v>
          </cell>
        </row>
        <row r="951">
          <cell r="I951" t="str">
            <v>S228</v>
          </cell>
          <cell r="J951" t="str">
            <v>SchCpct_HtgSPSuperMkt</v>
          </cell>
        </row>
        <row r="952">
          <cell r="I952" t="str">
            <v>S229</v>
          </cell>
          <cell r="J952" t="str">
            <v>SchCpct_ClgSPSuperMkt</v>
          </cell>
        </row>
        <row r="953">
          <cell r="I953" t="str">
            <v>S230</v>
          </cell>
          <cell r="J953" t="str">
            <v>SchCpct_GenSetPeak</v>
          </cell>
        </row>
        <row r="954">
          <cell r="I954" t="str">
            <v>S231</v>
          </cell>
        </row>
        <row r="955">
          <cell r="I955" t="str">
            <v>S232</v>
          </cell>
        </row>
        <row r="956">
          <cell r="I956" t="str">
            <v>S233</v>
          </cell>
        </row>
        <row r="957">
          <cell r="I957" t="str">
            <v>S234</v>
          </cell>
        </row>
        <row r="958">
          <cell r="I958" t="str">
            <v>S300</v>
          </cell>
          <cell r="J958" t="str">
            <v>Defrost 1pDay46minea</v>
          </cell>
        </row>
        <row r="959">
          <cell r="I959" t="str">
            <v>S301</v>
          </cell>
          <cell r="J959" t="str">
            <v>Defrost 1pDay60minea</v>
          </cell>
        </row>
        <row r="960">
          <cell r="I960" t="str">
            <v>S302</v>
          </cell>
        </row>
        <row r="961">
          <cell r="I961" t="str">
            <v>S303</v>
          </cell>
        </row>
        <row r="962">
          <cell r="I962" t="str">
            <v>S304</v>
          </cell>
        </row>
        <row r="963">
          <cell r="I963" t="str">
            <v>S305</v>
          </cell>
          <cell r="J963" t="str">
            <v>Defrost 2pDay30minea</v>
          </cell>
        </row>
        <row r="964">
          <cell r="I964" t="str">
            <v>S306</v>
          </cell>
        </row>
        <row r="965">
          <cell r="I965" t="str">
            <v>S307</v>
          </cell>
        </row>
        <row r="966">
          <cell r="I966" t="str">
            <v>S308</v>
          </cell>
        </row>
        <row r="967">
          <cell r="I967" t="str">
            <v>S309</v>
          </cell>
        </row>
        <row r="968">
          <cell r="I968" t="str">
            <v>S310</v>
          </cell>
          <cell r="J968" t="str">
            <v>Defrost 3pDay30minea</v>
          </cell>
        </row>
        <row r="969">
          <cell r="I969" t="str">
            <v>S311</v>
          </cell>
        </row>
        <row r="970">
          <cell r="I970" t="str">
            <v>S312</v>
          </cell>
        </row>
        <row r="971">
          <cell r="I971" t="str">
            <v>S313</v>
          </cell>
        </row>
        <row r="972">
          <cell r="I972" t="str">
            <v>S314</v>
          </cell>
        </row>
        <row r="973">
          <cell r="I973" t="str">
            <v>S315</v>
          </cell>
          <cell r="J973" t="str">
            <v>Defrost 4pDay25minea</v>
          </cell>
        </row>
        <row r="974">
          <cell r="I974" t="str">
            <v>S316</v>
          </cell>
          <cell r="J974" t="str">
            <v>Defrost 4pDay35minea</v>
          </cell>
        </row>
        <row r="975">
          <cell r="I975" t="str">
            <v>S317</v>
          </cell>
        </row>
        <row r="976">
          <cell r="I976" t="str">
            <v>S318</v>
          </cell>
        </row>
        <row r="977">
          <cell r="I977" t="str">
            <v>S319</v>
          </cell>
        </row>
        <row r="978">
          <cell r="I978" t="str">
            <v>S320</v>
          </cell>
        </row>
        <row r="979">
          <cell r="I979" t="str">
            <v>S321</v>
          </cell>
        </row>
        <row r="980">
          <cell r="I980" t="str">
            <v>S322</v>
          </cell>
        </row>
        <row r="981">
          <cell r="I981" t="str">
            <v>S323</v>
          </cell>
        </row>
        <row r="982">
          <cell r="I982" t="str">
            <v>S324</v>
          </cell>
        </row>
        <row r="983">
          <cell r="I983" t="str">
            <v>S325</v>
          </cell>
          <cell r="J983" t="str">
            <v>ReStocking_WalkinCooler</v>
          </cell>
        </row>
        <row r="984">
          <cell r="I984" t="str">
            <v>S326</v>
          </cell>
          <cell r="J984" t="str">
            <v>ReStocking_MultiDk</v>
          </cell>
        </row>
        <row r="985">
          <cell r="I985" t="str">
            <v>S327</v>
          </cell>
          <cell r="J985" t="str">
            <v>ReStocking_WalkinFreezer</v>
          </cell>
        </row>
        <row r="986">
          <cell r="I986" t="str">
            <v>S328</v>
          </cell>
          <cell r="J986" t="str">
            <v>Door_WalkinCooler</v>
          </cell>
        </row>
        <row r="987">
          <cell r="I987" t="str">
            <v>S329</v>
          </cell>
          <cell r="J987" t="str">
            <v>Door_WalkinFreezer</v>
          </cell>
        </row>
        <row r="988">
          <cell r="I988" t="str">
            <v>S330</v>
          </cell>
        </row>
        <row r="989">
          <cell r="I989" t="str">
            <v>S331</v>
          </cell>
        </row>
        <row r="990">
          <cell r="I990" t="str">
            <v>S332</v>
          </cell>
        </row>
        <row r="991">
          <cell r="I991" t="str">
            <v>S333</v>
          </cell>
        </row>
        <row r="992">
          <cell r="I992" t="str">
            <v>S334</v>
          </cell>
        </row>
        <row r="993">
          <cell r="I993" t="str">
            <v>S335</v>
          </cell>
        </row>
        <row r="994">
          <cell r="I994" t="str">
            <v>S400</v>
          </cell>
          <cell r="J994" t="str">
            <v>DripDown 1pDay46minea</v>
          </cell>
        </row>
        <row r="995">
          <cell r="I995" t="str">
            <v>S401</v>
          </cell>
          <cell r="J995" t="str">
            <v>DripDown 1pDay60minea</v>
          </cell>
        </row>
        <row r="996">
          <cell r="I996" t="str">
            <v>S402</v>
          </cell>
        </row>
        <row r="997">
          <cell r="I997" t="str">
            <v>S403</v>
          </cell>
        </row>
        <row r="998">
          <cell r="I998" t="str">
            <v>S404</v>
          </cell>
        </row>
        <row r="999">
          <cell r="I999" t="str">
            <v>S405</v>
          </cell>
          <cell r="J999" t="str">
            <v>DripDown 2pDay30minea</v>
          </cell>
        </row>
        <row r="1000">
          <cell r="I1000" t="str">
            <v>S406</v>
          </cell>
        </row>
        <row r="1001">
          <cell r="I1001" t="str">
            <v>S407</v>
          </cell>
        </row>
        <row r="1002">
          <cell r="I1002" t="str">
            <v>S408</v>
          </cell>
        </row>
        <row r="1003">
          <cell r="I1003" t="str">
            <v>S409</v>
          </cell>
        </row>
        <row r="1004">
          <cell r="I1004" t="str">
            <v>S410</v>
          </cell>
          <cell r="J1004" t="str">
            <v>DripDown 3pDay30minea</v>
          </cell>
        </row>
        <row r="1005">
          <cell r="I1005" t="str">
            <v>S411</v>
          </cell>
        </row>
        <row r="1006">
          <cell r="I1006" t="str">
            <v>S412</v>
          </cell>
        </row>
        <row r="1007">
          <cell r="I1007" t="str">
            <v>S413</v>
          </cell>
        </row>
        <row r="1008">
          <cell r="I1008" t="str">
            <v>S414</v>
          </cell>
        </row>
        <row r="1009">
          <cell r="I1009" t="str">
            <v>S415</v>
          </cell>
          <cell r="J1009" t="str">
            <v>DripDown 4pDay25minea</v>
          </cell>
        </row>
        <row r="1010">
          <cell r="I1010" t="str">
            <v>S416</v>
          </cell>
          <cell r="J1010" t="str">
            <v>DripDown 4pDay35minea</v>
          </cell>
        </row>
        <row r="1011">
          <cell r="I1011" t="str">
            <v>S417</v>
          </cell>
        </row>
        <row r="1012">
          <cell r="I1012" t="str">
            <v>S418</v>
          </cell>
        </row>
        <row r="1013">
          <cell r="I1013" t="str">
            <v>S419</v>
          </cell>
        </row>
        <row r="1014">
          <cell r="I1014" t="str">
            <v>S420</v>
          </cell>
        </row>
        <row r="1015">
          <cell r="I1015" t="str">
            <v>S421</v>
          </cell>
        </row>
        <row r="1016">
          <cell r="I1016" t="str">
            <v>S422</v>
          </cell>
        </row>
        <row r="1017">
          <cell r="I1017" t="str">
            <v>S423</v>
          </cell>
        </row>
        <row r="1018">
          <cell r="I1018" t="str">
            <v>S424</v>
          </cell>
        </row>
        <row r="1019">
          <cell r="I1019" t="str">
            <v>S425</v>
          </cell>
        </row>
        <row r="1020">
          <cell r="I1020" t="str">
            <v>S426</v>
          </cell>
        </row>
        <row r="1021">
          <cell r="I1021" t="str">
            <v>S427</v>
          </cell>
        </row>
        <row r="1022">
          <cell r="I1022" t="str">
            <v>S428</v>
          </cell>
        </row>
        <row r="1023">
          <cell r="I1023" t="str">
            <v>S429</v>
          </cell>
        </row>
        <row r="1024">
          <cell r="I1024" t="str">
            <v>S430</v>
          </cell>
        </row>
        <row r="1025">
          <cell r="I1025" t="str">
            <v>S431</v>
          </cell>
        </row>
        <row r="1026">
          <cell r="I1026" t="str">
            <v>S432</v>
          </cell>
        </row>
        <row r="1027">
          <cell r="I1027" t="str">
            <v>S433</v>
          </cell>
        </row>
        <row r="1028">
          <cell r="I1028" t="str">
            <v>S434</v>
          </cell>
        </row>
        <row r="1029">
          <cell r="I1029" t="str">
            <v>S435</v>
          </cell>
        </row>
        <row r="1030">
          <cell r="I1030" t="str">
            <v>S436</v>
          </cell>
        </row>
        <row r="1031">
          <cell r="I1031" t="str">
            <v>S437</v>
          </cell>
        </row>
        <row r="1032">
          <cell r="I1032" t="str">
            <v>S438</v>
          </cell>
        </row>
        <row r="1033">
          <cell r="I1033" t="str">
            <v>S439</v>
          </cell>
        </row>
        <row r="1034">
          <cell r="I1034" t="str">
            <v>S440</v>
          </cell>
        </row>
        <row r="1035">
          <cell r="I1035" t="str">
            <v>S441</v>
          </cell>
        </row>
        <row r="1036">
          <cell r="I1036" t="str">
            <v>S442</v>
          </cell>
        </row>
        <row r="1037">
          <cell r="I1037" t="str">
            <v>S443</v>
          </cell>
        </row>
        <row r="1038">
          <cell r="I1038" t="str">
            <v>S444</v>
          </cell>
        </row>
        <row r="1039">
          <cell r="I1039" t="str">
            <v>S445</v>
          </cell>
        </row>
        <row r="1040">
          <cell r="I1040" t="str">
            <v>S446</v>
          </cell>
        </row>
        <row r="1041">
          <cell r="I1041" t="str">
            <v>S447</v>
          </cell>
        </row>
        <row r="1042">
          <cell r="I1042" t="str">
            <v>S448</v>
          </cell>
        </row>
      </sheetData>
      <sheetData sheetId="3">
        <row r="9">
          <cell r="A9" t="str">
            <v>Base3-1</v>
          </cell>
          <cell r="C9">
            <v>2</v>
          </cell>
          <cell r="D9" t="str">
            <v>MainStore</v>
          </cell>
          <cell r="E9">
            <v>5</v>
          </cell>
          <cell r="F9" t="str">
            <v>Pkg Rooftop VAV w/ Rht</v>
          </cell>
          <cell r="G9" t="str">
            <v>DX</v>
          </cell>
          <cell r="H9" t="str">
            <v>HW Fossil Boiler</v>
          </cell>
          <cell r="I9">
            <v>9.5</v>
          </cell>
          <cell r="J9" t="str">
            <v>na</v>
          </cell>
          <cell r="K9">
            <v>0</v>
          </cell>
          <cell r="L9">
            <v>36.99</v>
          </cell>
          <cell r="M9">
            <v>78376.901058384363</v>
          </cell>
          <cell r="N9">
            <v>4300</v>
          </cell>
          <cell r="Q9">
            <v>0</v>
          </cell>
          <cell r="S9">
            <v>4.1314000000000002</v>
          </cell>
          <cell r="U9">
            <v>0.9</v>
          </cell>
          <cell r="V9">
            <v>0.5</v>
          </cell>
          <cell r="W9">
            <v>0</v>
          </cell>
          <cell r="Y9">
            <v>101.88997137589969</v>
          </cell>
          <cell r="Z9">
            <v>76009.918646421167</v>
          </cell>
          <cell r="AA9">
            <v>3044.1045119999999</v>
          </cell>
          <cell r="AD9">
            <v>10.40198777643598</v>
          </cell>
          <cell r="AG9">
            <v>4.0273717561365977E-5</v>
          </cell>
          <cell r="AH9">
            <v>308.96534892052102</v>
          </cell>
          <cell r="AI9">
            <v>3133.80258</v>
          </cell>
          <cell r="AK9">
            <v>918465</v>
          </cell>
          <cell r="AL9" t="e">
            <v>#VALUE!</v>
          </cell>
          <cell r="AM9">
            <v>4.0273717561365977E-5</v>
          </cell>
          <cell r="AN9">
            <v>308.96534892052102</v>
          </cell>
          <cell r="AO9" t="str">
            <v>MainStore</v>
          </cell>
        </row>
        <row r="10">
          <cell r="A10" t="str">
            <v>Base3-2</v>
          </cell>
          <cell r="C10">
            <v>7</v>
          </cell>
          <cell r="D10" t="str">
            <v>Bakery</v>
          </cell>
          <cell r="E10">
            <v>3</v>
          </cell>
          <cell r="F10" t="str">
            <v>Pkg Rooftop</v>
          </cell>
          <cell r="G10" t="str">
            <v>DX</v>
          </cell>
          <cell r="H10" t="str">
            <v>Fossil Furnace</v>
          </cell>
          <cell r="I10">
            <v>10.8</v>
          </cell>
          <cell r="J10" t="str">
            <v>na</v>
          </cell>
          <cell r="K10">
            <v>0</v>
          </cell>
          <cell r="L10">
            <v>2.69</v>
          </cell>
          <cell r="M10">
            <v>5699.7530101934017</v>
          </cell>
          <cell r="N10">
            <v>2200</v>
          </cell>
          <cell r="Q10">
            <v>0</v>
          </cell>
          <cell r="S10">
            <v>2.98732</v>
          </cell>
          <cell r="U10">
            <v>0.9</v>
          </cell>
          <cell r="V10">
            <v>0.5</v>
          </cell>
          <cell r="W10">
            <v>0</v>
          </cell>
          <cell r="Y10">
            <v>5.357767829581797</v>
          </cell>
          <cell r="Z10">
            <v>3996.8948008680209</v>
          </cell>
          <cell r="AA10">
            <v>221.128308</v>
          </cell>
          <cell r="AD10">
            <v>11.980435199440247</v>
          </cell>
          <cell r="AG10">
            <v>4.0253793433693471E-5</v>
          </cell>
          <cell r="AH10">
            <v>309.30927270659902</v>
          </cell>
          <cell r="AI10">
            <v>228.010312</v>
          </cell>
          <cell r="AK10">
            <v>66826</v>
          </cell>
          <cell r="AL10" t="e">
            <v>#VALUE!</v>
          </cell>
          <cell r="AM10">
            <v>4.0253793433693471E-5</v>
          </cell>
          <cell r="AN10">
            <v>309.30927270659902</v>
          </cell>
          <cell r="AO10" t="str">
            <v>Bakery</v>
          </cell>
        </row>
        <row r="11">
          <cell r="A11" t="str">
            <v>Base3-3</v>
          </cell>
          <cell r="C11">
            <v>8</v>
          </cell>
          <cell r="D11" t="str">
            <v>Deli</v>
          </cell>
          <cell r="E11">
            <v>3</v>
          </cell>
          <cell r="F11" t="str">
            <v/>
          </cell>
          <cell r="G11" t="str">
            <v/>
          </cell>
          <cell r="H11" t="str">
            <v/>
          </cell>
          <cell r="I11">
            <v>9.8000000000000007</v>
          </cell>
          <cell r="J11" t="str">
            <v>na</v>
          </cell>
          <cell r="K11">
            <v>0</v>
          </cell>
          <cell r="L11">
            <v>3.05</v>
          </cell>
          <cell r="M11">
            <v>6462.5452346059019</v>
          </cell>
          <cell r="N11">
            <v>5150</v>
          </cell>
          <cell r="Q11">
            <v>0</v>
          </cell>
          <cell r="S11">
            <v>2.98732</v>
          </cell>
          <cell r="U11">
            <v>0.9</v>
          </cell>
          <cell r="V11">
            <v>0.5</v>
          </cell>
          <cell r="W11">
            <v>0</v>
          </cell>
          <cell r="Y11">
            <v>6.0747925205295479</v>
          </cell>
          <cell r="Z11">
            <v>4531.7952203150426</v>
          </cell>
          <cell r="AA11">
            <v>250.60457600000001</v>
          </cell>
          <cell r="AD11">
            <v>10.762724357058667</v>
          </cell>
          <cell r="AG11">
            <v>4.0273064582150444E-5</v>
          </cell>
          <cell r="AH11">
            <v>309.45381785554792</v>
          </cell>
          <cell r="AI11">
            <v>258.40099599999996</v>
          </cell>
          <cell r="AK11">
            <v>75733</v>
          </cell>
          <cell r="AL11" t="e">
            <v>#VALUE!</v>
          </cell>
          <cell r="AM11">
            <v>4.0273064582150444E-5</v>
          </cell>
          <cell r="AN11">
            <v>309.45381785554792</v>
          </cell>
          <cell r="AO11" t="str">
            <v>Deli</v>
          </cell>
        </row>
        <row r="12">
          <cell r="A12" t="str">
            <v>Base3-4</v>
          </cell>
          <cell r="C12">
            <v>9</v>
          </cell>
          <cell r="D12" t="str">
            <v>Dock_BackRm</v>
          </cell>
          <cell r="E12">
            <v>3</v>
          </cell>
          <cell r="F12" t="str">
            <v/>
          </cell>
          <cell r="G12" t="str">
            <v/>
          </cell>
          <cell r="H12" t="str">
            <v/>
          </cell>
          <cell r="I12">
            <v>11</v>
          </cell>
          <cell r="J12" t="str">
            <v>na</v>
          </cell>
          <cell r="K12">
            <v>0</v>
          </cell>
          <cell r="L12">
            <v>0.95499999999999996</v>
          </cell>
          <cell r="M12">
            <v>2023.5182619831592</v>
          </cell>
          <cell r="N12">
            <v>0</v>
          </cell>
          <cell r="Q12">
            <v>0</v>
          </cell>
          <cell r="S12">
            <v>2.98732</v>
          </cell>
          <cell r="U12">
            <v>0.9</v>
          </cell>
          <cell r="V12">
            <v>0.5</v>
          </cell>
          <cell r="W12">
            <v>0</v>
          </cell>
          <cell r="Y12">
            <v>1.9021071662641695</v>
          </cell>
          <cell r="Z12">
            <v>1418.9719460330705</v>
          </cell>
          <cell r="AA12">
            <v>78.479411999999996</v>
          </cell>
          <cell r="AD12">
            <v>12.227473173954753</v>
          </cell>
          <cell r="AG12">
            <v>4.0266475523885815E-5</v>
          </cell>
          <cell r="AH12">
            <v>309.40878027727717</v>
          </cell>
          <cell r="AI12">
            <v>80.922404</v>
          </cell>
          <cell r="AK12">
            <v>23717</v>
          </cell>
          <cell r="AL12" t="e">
            <v>#VALUE!</v>
          </cell>
          <cell r="AM12">
            <v>4.0266475523885815E-5</v>
          </cell>
          <cell r="AN12">
            <v>309.40878027727717</v>
          </cell>
          <cell r="AO12" t="str">
            <v>Dock_BackRm</v>
          </cell>
        </row>
        <row r="13">
          <cell r="A13" t="str">
            <v/>
          </cell>
          <cell r="D13" t="str">
            <v/>
          </cell>
          <cell r="E13" t="str">
            <v/>
          </cell>
          <cell r="F13" t="str">
            <v/>
          </cell>
          <cell r="G13" t="str">
            <v/>
          </cell>
          <cell r="H13" t="str">
            <v/>
          </cell>
          <cell r="I13">
            <v>10</v>
          </cell>
          <cell r="J13" t="str">
            <v>na</v>
          </cell>
          <cell r="L13" t="str">
            <v>A</v>
          </cell>
          <cell r="M13" t="str">
            <v>A</v>
          </cell>
          <cell r="Q13">
            <v>0</v>
          </cell>
          <cell r="S13" t="str">
            <v/>
          </cell>
          <cell r="U13">
            <v>0.9</v>
          </cell>
          <cell r="V13">
            <v>0.5</v>
          </cell>
          <cell r="W13">
            <v>0</v>
          </cell>
          <cell r="Y13">
            <v>2.6809651474530831</v>
          </cell>
          <cell r="Z13">
            <v>2000</v>
          </cell>
          <cell r="AA13" t="str">
            <v/>
          </cell>
          <cell r="AD13">
            <v>10.236000000000001</v>
          </cell>
          <cell r="AG13" t="str">
            <v>na</v>
          </cell>
          <cell r="AH13" t="str">
            <v>na</v>
          </cell>
          <cell r="AI13">
            <v>0</v>
          </cell>
          <cell r="AK13">
            <v>0</v>
          </cell>
          <cell r="AL13">
            <v>10.236000000000001</v>
          </cell>
          <cell r="AM13" t="e">
            <v>#VALUE!</v>
          </cell>
          <cell r="AN13" t="e">
            <v>#VALUE!</v>
          </cell>
          <cell r="AO13" t="str">
            <v/>
          </cell>
        </row>
        <row r="14">
          <cell r="A14" t="str">
            <v/>
          </cell>
          <cell r="D14" t="str">
            <v/>
          </cell>
          <cell r="E14" t="str">
            <v/>
          </cell>
          <cell r="F14" t="str">
            <v/>
          </cell>
          <cell r="G14" t="str">
            <v/>
          </cell>
          <cell r="H14" t="str">
            <v/>
          </cell>
          <cell r="I14">
            <v>10</v>
          </cell>
          <cell r="J14" t="str">
            <v>na</v>
          </cell>
          <cell r="L14" t="str">
            <v>A</v>
          </cell>
          <cell r="M14" t="str">
            <v>A</v>
          </cell>
          <cell r="S14" t="str">
            <v/>
          </cell>
          <cell r="U14">
            <v>0.9</v>
          </cell>
          <cell r="V14">
            <v>0.5</v>
          </cell>
          <cell r="W14">
            <v>0</v>
          </cell>
          <cell r="Y14">
            <v>2.6809651474530831</v>
          </cell>
          <cell r="Z14">
            <v>2000</v>
          </cell>
          <cell r="AA14" t="str">
            <v/>
          </cell>
          <cell r="AD14">
            <v>10.236000000000001</v>
          </cell>
          <cell r="AG14" t="str">
            <v>na</v>
          </cell>
          <cell r="AH14" t="str">
            <v>na</v>
          </cell>
          <cell r="AI14">
            <v>0</v>
          </cell>
          <cell r="AK14">
            <v>0</v>
          </cell>
          <cell r="AL14">
            <v>10.236000000000001</v>
          </cell>
          <cell r="AM14" t="e">
            <v>#VALUE!</v>
          </cell>
          <cell r="AN14" t="e">
            <v>#VALUE!</v>
          </cell>
          <cell r="AO14" t="str">
            <v/>
          </cell>
        </row>
        <row r="15">
          <cell r="A15" t="str">
            <v/>
          </cell>
          <cell r="D15" t="str">
            <v/>
          </cell>
          <cell r="E15" t="str">
            <v/>
          </cell>
          <cell r="F15" t="str">
            <v/>
          </cell>
          <cell r="G15" t="str">
            <v/>
          </cell>
          <cell r="H15" t="str">
            <v/>
          </cell>
          <cell r="I15">
            <v>10</v>
          </cell>
          <cell r="J15" t="str">
            <v>na</v>
          </cell>
          <cell r="L15" t="str">
            <v>A</v>
          </cell>
          <cell r="M15" t="str">
            <v>A</v>
          </cell>
          <cell r="S15" t="str">
            <v/>
          </cell>
          <cell r="U15">
            <v>0.9</v>
          </cell>
          <cell r="V15">
            <v>0.5</v>
          </cell>
          <cell r="W15">
            <v>0</v>
          </cell>
          <cell r="Y15">
            <v>2.6809651474530831</v>
          </cell>
          <cell r="Z15">
            <v>2000</v>
          </cell>
          <cell r="AA15" t="str">
            <v/>
          </cell>
          <cell r="AD15">
            <v>10.236000000000001</v>
          </cell>
          <cell r="AG15" t="str">
            <v>na</v>
          </cell>
          <cell r="AH15" t="str">
            <v>na</v>
          </cell>
          <cell r="AI15">
            <v>0</v>
          </cell>
          <cell r="AK15">
            <v>0</v>
          </cell>
          <cell r="AL15">
            <v>10.236000000000001</v>
          </cell>
          <cell r="AM15" t="e">
            <v>#VALUE!</v>
          </cell>
          <cell r="AN15" t="e">
            <v>#VALUE!</v>
          </cell>
          <cell r="AO15" t="str">
            <v/>
          </cell>
        </row>
        <row r="16">
          <cell r="A16" t="str">
            <v/>
          </cell>
          <cell r="D16" t="str">
            <v/>
          </cell>
          <cell r="E16" t="str">
            <v/>
          </cell>
          <cell r="F16" t="str">
            <v/>
          </cell>
          <cell r="G16" t="str">
            <v/>
          </cell>
          <cell r="H16" t="str">
            <v/>
          </cell>
          <cell r="I16">
            <v>10</v>
          </cell>
          <cell r="J16" t="str">
            <v>na</v>
          </cell>
          <cell r="L16" t="str">
            <v>A</v>
          </cell>
          <cell r="M16" t="str">
            <v>A</v>
          </cell>
          <cell r="S16" t="str">
            <v/>
          </cell>
          <cell r="U16">
            <v>0.9</v>
          </cell>
          <cell r="V16">
            <v>0.5</v>
          </cell>
          <cell r="W16">
            <v>0</v>
          </cell>
          <cell r="Y16">
            <v>2.6809651474530831</v>
          </cell>
          <cell r="Z16">
            <v>2000</v>
          </cell>
          <cell r="AA16" t="str">
            <v/>
          </cell>
          <cell r="AD16">
            <v>10.236000000000001</v>
          </cell>
          <cell r="AG16" t="str">
            <v>na</v>
          </cell>
          <cell r="AH16" t="str">
            <v>na</v>
          </cell>
          <cell r="AI16">
            <v>0</v>
          </cell>
          <cell r="AK16">
            <v>0</v>
          </cell>
          <cell r="AL16">
            <v>10.236000000000001</v>
          </cell>
          <cell r="AM16" t="e">
            <v>#VALUE!</v>
          </cell>
          <cell r="AN16" t="e">
            <v>#VALUE!</v>
          </cell>
          <cell r="AO16" t="str">
            <v/>
          </cell>
        </row>
        <row r="17">
          <cell r="A17" t="str">
            <v/>
          </cell>
          <cell r="D17" t="str">
            <v/>
          </cell>
          <cell r="E17" t="str">
            <v/>
          </cell>
          <cell r="F17" t="str">
            <v/>
          </cell>
          <cell r="G17" t="str">
            <v/>
          </cell>
          <cell r="H17" t="str">
            <v/>
          </cell>
          <cell r="I17">
            <v>10</v>
          </cell>
          <cell r="J17" t="str">
            <v>na</v>
          </cell>
          <cell r="L17" t="str">
            <v>A</v>
          </cell>
          <cell r="M17" t="str">
            <v>A</v>
          </cell>
          <cell r="S17" t="str">
            <v/>
          </cell>
          <cell r="U17">
            <v>0.9</v>
          </cell>
          <cell r="V17">
            <v>0.5</v>
          </cell>
          <cell r="W17">
            <v>0</v>
          </cell>
          <cell r="Y17">
            <v>2.6809651474530831</v>
          </cell>
          <cell r="Z17">
            <v>2000</v>
          </cell>
          <cell r="AA17" t="str">
            <v/>
          </cell>
          <cell r="AD17">
            <v>10.236000000000001</v>
          </cell>
          <cell r="AG17" t="str">
            <v>na</v>
          </cell>
          <cell r="AH17" t="str">
            <v>na</v>
          </cell>
          <cell r="AI17">
            <v>0</v>
          </cell>
          <cell r="AK17">
            <v>0</v>
          </cell>
          <cell r="AL17">
            <v>10.236000000000001</v>
          </cell>
          <cell r="AM17" t="e">
            <v>#VALUE!</v>
          </cell>
          <cell r="AN17" t="e">
            <v>#VALUE!</v>
          </cell>
          <cell r="AO17" t="str">
            <v/>
          </cell>
        </row>
        <row r="18">
          <cell r="A18" t="str">
            <v/>
          </cell>
          <cell r="D18" t="str">
            <v/>
          </cell>
          <cell r="E18" t="str">
            <v/>
          </cell>
          <cell r="F18" t="str">
            <v/>
          </cell>
          <cell r="G18" t="str">
            <v/>
          </cell>
          <cell r="H18" t="str">
            <v/>
          </cell>
          <cell r="I18">
            <v>10</v>
          </cell>
          <cell r="J18" t="str">
            <v>na</v>
          </cell>
          <cell r="L18" t="str">
            <v>A</v>
          </cell>
          <cell r="M18" t="str">
            <v>A</v>
          </cell>
          <cell r="S18" t="str">
            <v/>
          </cell>
          <cell r="U18">
            <v>0.9</v>
          </cell>
          <cell r="V18">
            <v>0.5</v>
          </cell>
          <cell r="W18">
            <v>0</v>
          </cell>
          <cell r="Y18">
            <v>2.6809651474530831</v>
          </cell>
          <cell r="Z18">
            <v>2000</v>
          </cell>
          <cell r="AA18" t="str">
            <v/>
          </cell>
          <cell r="AD18">
            <v>10.236000000000001</v>
          </cell>
          <cell r="AG18" t="str">
            <v>na</v>
          </cell>
          <cell r="AH18" t="str">
            <v>na</v>
          </cell>
          <cell r="AI18">
            <v>0</v>
          </cell>
          <cell r="AK18">
            <v>0</v>
          </cell>
          <cell r="AL18">
            <v>10.236000000000001</v>
          </cell>
          <cell r="AM18" t="e">
            <v>#VALUE!</v>
          </cell>
          <cell r="AN18" t="e">
            <v>#VALUE!</v>
          </cell>
          <cell r="AO18" t="str">
            <v/>
          </cell>
        </row>
        <row r="19">
          <cell r="A19" t="str">
            <v/>
          </cell>
          <cell r="D19" t="str">
            <v/>
          </cell>
          <cell r="E19" t="str">
            <v/>
          </cell>
          <cell r="F19" t="str">
            <v/>
          </cell>
          <cell r="G19" t="str">
            <v/>
          </cell>
          <cell r="H19" t="str">
            <v/>
          </cell>
          <cell r="I19">
            <v>10</v>
          </cell>
          <cell r="J19" t="str">
            <v>na</v>
          </cell>
          <cell r="L19" t="str">
            <v>A</v>
          </cell>
          <cell r="M19" t="str">
            <v>A</v>
          </cell>
          <cell r="S19" t="str">
            <v/>
          </cell>
          <cell r="U19">
            <v>0.9</v>
          </cell>
          <cell r="V19">
            <v>0.5</v>
          </cell>
          <cell r="W19">
            <v>0</v>
          </cell>
          <cell r="Y19">
            <v>2.6809651474530831</v>
          </cell>
          <cell r="Z19">
            <v>2000</v>
          </cell>
          <cell r="AA19" t="str">
            <v/>
          </cell>
          <cell r="AD19">
            <v>10.236000000000001</v>
          </cell>
          <cell r="AG19" t="str">
            <v>na</v>
          </cell>
          <cell r="AH19" t="str">
            <v>na</v>
          </cell>
          <cell r="AI19">
            <v>0</v>
          </cell>
          <cell r="AK19">
            <v>0</v>
          </cell>
          <cell r="AL19">
            <v>10.236000000000001</v>
          </cell>
          <cell r="AM19" t="e">
            <v>#VALUE!</v>
          </cell>
          <cell r="AN19" t="e">
            <v>#VALUE!</v>
          </cell>
          <cell r="AO19" t="str">
            <v/>
          </cell>
        </row>
        <row r="20">
          <cell r="A20" t="str">
            <v/>
          </cell>
          <cell r="D20" t="str">
            <v/>
          </cell>
          <cell r="E20" t="str">
            <v/>
          </cell>
          <cell r="F20" t="str">
            <v/>
          </cell>
          <cell r="G20" t="str">
            <v/>
          </cell>
          <cell r="H20" t="str">
            <v/>
          </cell>
          <cell r="I20">
            <v>10</v>
          </cell>
          <cell r="J20" t="str">
            <v>na</v>
          </cell>
          <cell r="L20" t="str">
            <v>A</v>
          </cell>
          <cell r="M20" t="str">
            <v>A</v>
          </cell>
          <cell r="S20" t="str">
            <v/>
          </cell>
          <cell r="U20">
            <v>0.9</v>
          </cell>
          <cell r="V20">
            <v>0.5</v>
          </cell>
          <cell r="W20">
            <v>0</v>
          </cell>
          <cell r="Y20">
            <v>2.6809651474530831</v>
          </cell>
          <cell r="Z20">
            <v>2000</v>
          </cell>
          <cell r="AA20" t="str">
            <v/>
          </cell>
          <cell r="AD20">
            <v>10.236000000000001</v>
          </cell>
          <cell r="AG20" t="str">
            <v>na</v>
          </cell>
          <cell r="AH20" t="str">
            <v>na</v>
          </cell>
          <cell r="AI20">
            <v>0</v>
          </cell>
          <cell r="AK20">
            <v>0</v>
          </cell>
          <cell r="AL20">
            <v>10.236000000000001</v>
          </cell>
          <cell r="AM20" t="e">
            <v>#VALUE!</v>
          </cell>
          <cell r="AN20" t="e">
            <v>#VALUE!</v>
          </cell>
          <cell r="AO20" t="str">
            <v/>
          </cell>
        </row>
        <row r="21">
          <cell r="A21" t="str">
            <v/>
          </cell>
          <cell r="D21" t="str">
            <v/>
          </cell>
          <cell r="E21" t="str">
            <v/>
          </cell>
          <cell r="F21" t="str">
            <v/>
          </cell>
          <cell r="G21" t="str">
            <v/>
          </cell>
          <cell r="H21" t="str">
            <v/>
          </cell>
          <cell r="I21">
            <v>10</v>
          </cell>
          <cell r="J21" t="str">
            <v>na</v>
          </cell>
          <cell r="L21" t="str">
            <v>A</v>
          </cell>
          <cell r="M21" t="str">
            <v>A</v>
          </cell>
          <cell r="S21" t="str">
            <v/>
          </cell>
          <cell r="U21">
            <v>0.9</v>
          </cell>
          <cell r="V21">
            <v>0.5</v>
          </cell>
          <cell r="W21">
            <v>0</v>
          </cell>
          <cell r="Y21">
            <v>2.6809651474530831</v>
          </cell>
          <cell r="Z21">
            <v>2000</v>
          </cell>
          <cell r="AA21" t="str">
            <v/>
          </cell>
          <cell r="AD21">
            <v>10.236000000000001</v>
          </cell>
          <cell r="AG21" t="str">
            <v>na</v>
          </cell>
          <cell r="AH21" t="str">
            <v>na</v>
          </cell>
          <cell r="AI21">
            <v>0</v>
          </cell>
          <cell r="AK21">
            <v>0</v>
          </cell>
          <cell r="AL21">
            <v>10.236000000000001</v>
          </cell>
          <cell r="AM21" t="e">
            <v>#VALUE!</v>
          </cell>
          <cell r="AN21" t="e">
            <v>#VALUE!</v>
          </cell>
          <cell r="AO21" t="str">
            <v/>
          </cell>
        </row>
        <row r="22">
          <cell r="A22" t="str">
            <v/>
          </cell>
          <cell r="D22" t="str">
            <v/>
          </cell>
          <cell r="E22" t="str">
            <v/>
          </cell>
          <cell r="F22" t="str">
            <v/>
          </cell>
          <cell r="G22" t="str">
            <v/>
          </cell>
          <cell r="H22" t="str">
            <v/>
          </cell>
          <cell r="I22">
            <v>10</v>
          </cell>
          <cell r="J22" t="str">
            <v>na</v>
          </cell>
          <cell r="L22" t="str">
            <v>A</v>
          </cell>
          <cell r="M22" t="str">
            <v>A</v>
          </cell>
          <cell r="S22" t="str">
            <v/>
          </cell>
          <cell r="U22">
            <v>0.9</v>
          </cell>
          <cell r="V22">
            <v>0.5</v>
          </cell>
          <cell r="W22">
            <v>0</v>
          </cell>
          <cell r="Y22">
            <v>2.6809651474530831</v>
          </cell>
          <cell r="Z22">
            <v>2000</v>
          </cell>
          <cell r="AA22" t="str">
            <v/>
          </cell>
          <cell r="AD22">
            <v>10.236000000000001</v>
          </cell>
          <cell r="AG22" t="str">
            <v>na</v>
          </cell>
          <cell r="AH22" t="str">
            <v>na</v>
          </cell>
          <cell r="AI22">
            <v>0</v>
          </cell>
          <cell r="AK22">
            <v>0</v>
          </cell>
          <cell r="AL22">
            <v>10.236000000000001</v>
          </cell>
          <cell r="AM22" t="e">
            <v>#VALUE!</v>
          </cell>
          <cell r="AN22" t="e">
            <v>#VALUE!</v>
          </cell>
          <cell r="AO22" t="str">
            <v/>
          </cell>
        </row>
        <row r="23">
          <cell r="A23" t="str">
            <v/>
          </cell>
          <cell r="D23" t="str">
            <v/>
          </cell>
          <cell r="E23" t="str">
            <v/>
          </cell>
          <cell r="F23" t="str">
            <v/>
          </cell>
          <cell r="G23" t="str">
            <v/>
          </cell>
          <cell r="H23" t="str">
            <v/>
          </cell>
          <cell r="I23">
            <v>10</v>
          </cell>
          <cell r="J23" t="str">
            <v>na</v>
          </cell>
          <cell r="L23" t="str">
            <v>A</v>
          </cell>
          <cell r="M23" t="str">
            <v>A</v>
          </cell>
          <cell r="S23" t="str">
            <v/>
          </cell>
          <cell r="U23">
            <v>0.9</v>
          </cell>
          <cell r="V23">
            <v>0.5</v>
          </cell>
          <cell r="W23">
            <v>0</v>
          </cell>
          <cell r="Y23">
            <v>2.6809651474530831</v>
          </cell>
          <cell r="Z23">
            <v>2000</v>
          </cell>
          <cell r="AA23" t="str">
            <v/>
          </cell>
          <cell r="AD23">
            <v>10.236000000000001</v>
          </cell>
          <cell r="AG23" t="str">
            <v>na</v>
          </cell>
          <cell r="AH23" t="str">
            <v>na</v>
          </cell>
          <cell r="AI23">
            <v>0</v>
          </cell>
          <cell r="AK23">
            <v>0</v>
          </cell>
          <cell r="AL23">
            <v>10.236000000000001</v>
          </cell>
          <cell r="AM23" t="e">
            <v>#VALUE!</v>
          </cell>
          <cell r="AN23" t="e">
            <v>#VALUE!</v>
          </cell>
          <cell r="AO23" t="str">
            <v/>
          </cell>
        </row>
        <row r="24">
          <cell r="A24" t="str">
            <v/>
          </cell>
          <cell r="D24" t="str">
            <v/>
          </cell>
          <cell r="E24" t="str">
            <v/>
          </cell>
          <cell r="F24" t="str">
            <v/>
          </cell>
          <cell r="G24" t="str">
            <v/>
          </cell>
          <cell r="H24" t="str">
            <v/>
          </cell>
          <cell r="I24">
            <v>10</v>
          </cell>
          <cell r="J24" t="str">
            <v>na</v>
          </cell>
          <cell r="L24" t="str">
            <v>A</v>
          </cell>
          <cell r="M24" t="str">
            <v>A</v>
          </cell>
          <cell r="S24" t="str">
            <v/>
          </cell>
          <cell r="U24">
            <v>0.9</v>
          </cell>
          <cell r="V24">
            <v>0.5</v>
          </cell>
          <cell r="W24">
            <v>0</v>
          </cell>
          <cell r="Y24">
            <v>2.6809651474530831</v>
          </cell>
          <cell r="Z24">
            <v>2000</v>
          </cell>
          <cell r="AA24" t="str">
            <v/>
          </cell>
          <cell r="AD24">
            <v>10.236000000000001</v>
          </cell>
          <cell r="AG24" t="str">
            <v>na</v>
          </cell>
          <cell r="AH24" t="str">
            <v>na</v>
          </cell>
          <cell r="AI24">
            <v>0</v>
          </cell>
          <cell r="AK24">
            <v>0</v>
          </cell>
          <cell r="AL24">
            <v>10.236000000000001</v>
          </cell>
          <cell r="AM24" t="e">
            <v>#VALUE!</v>
          </cell>
          <cell r="AN24" t="e">
            <v>#VALUE!</v>
          </cell>
          <cell r="AO24" t="str">
            <v/>
          </cell>
        </row>
        <row r="25">
          <cell r="A25" t="str">
            <v/>
          </cell>
          <cell r="D25" t="str">
            <v/>
          </cell>
          <cell r="E25" t="str">
            <v/>
          </cell>
          <cell r="F25" t="str">
            <v/>
          </cell>
          <cell r="G25" t="str">
            <v/>
          </cell>
          <cell r="H25" t="str">
            <v/>
          </cell>
          <cell r="I25">
            <v>10</v>
          </cell>
          <cell r="J25" t="str">
            <v>na</v>
          </cell>
          <cell r="L25" t="str">
            <v>A</v>
          </cell>
          <cell r="M25" t="str">
            <v>A</v>
          </cell>
          <cell r="S25" t="str">
            <v/>
          </cell>
          <cell r="U25">
            <v>0.9</v>
          </cell>
          <cell r="V25">
            <v>0.5</v>
          </cell>
          <cell r="W25">
            <v>0</v>
          </cell>
          <cell r="Y25">
            <v>2.6809651474530831</v>
          </cell>
          <cell r="Z25">
            <v>2000</v>
          </cell>
          <cell r="AA25" t="str">
            <v/>
          </cell>
          <cell r="AD25">
            <v>10.236000000000001</v>
          </cell>
          <cell r="AG25" t="str">
            <v>na</v>
          </cell>
          <cell r="AH25" t="str">
            <v>na</v>
          </cell>
          <cell r="AI25">
            <v>0</v>
          </cell>
          <cell r="AK25">
            <v>0</v>
          </cell>
          <cell r="AL25">
            <v>10.236000000000001</v>
          </cell>
          <cell r="AM25" t="e">
            <v>#VALUE!</v>
          </cell>
          <cell r="AN25" t="e">
            <v>#VALUE!</v>
          </cell>
          <cell r="AO25" t="str">
            <v/>
          </cell>
        </row>
        <row r="26">
          <cell r="A26" t="str">
            <v/>
          </cell>
          <cell r="D26" t="str">
            <v/>
          </cell>
          <cell r="E26" t="str">
            <v/>
          </cell>
          <cell r="F26" t="str">
            <v/>
          </cell>
          <cell r="G26" t="str">
            <v/>
          </cell>
          <cell r="H26" t="str">
            <v/>
          </cell>
          <cell r="I26">
            <v>10</v>
          </cell>
          <cell r="J26" t="str">
            <v>na</v>
          </cell>
          <cell r="L26" t="str">
            <v>A</v>
          </cell>
          <cell r="M26" t="str">
            <v>A</v>
          </cell>
          <cell r="S26" t="str">
            <v/>
          </cell>
          <cell r="U26">
            <v>0.9</v>
          </cell>
          <cell r="V26">
            <v>0.5</v>
          </cell>
          <cell r="W26">
            <v>0</v>
          </cell>
          <cell r="Y26">
            <v>2.6809651474530831</v>
          </cell>
          <cell r="Z26">
            <v>2000</v>
          </cell>
          <cell r="AA26" t="str">
            <v/>
          </cell>
          <cell r="AD26">
            <v>10.236000000000001</v>
          </cell>
          <cell r="AG26" t="str">
            <v>na</v>
          </cell>
          <cell r="AH26" t="str">
            <v>na</v>
          </cell>
          <cell r="AI26">
            <v>0</v>
          </cell>
          <cell r="AK26">
            <v>0</v>
          </cell>
          <cell r="AL26">
            <v>10.236000000000001</v>
          </cell>
          <cell r="AM26" t="e">
            <v>#VALUE!</v>
          </cell>
          <cell r="AN26" t="e">
            <v>#VALUE!</v>
          </cell>
          <cell r="AO26" t="str">
            <v/>
          </cell>
        </row>
        <row r="27">
          <cell r="A27" t="str">
            <v/>
          </cell>
          <cell r="D27" t="str">
            <v/>
          </cell>
          <cell r="E27" t="str">
            <v/>
          </cell>
          <cell r="F27" t="str">
            <v/>
          </cell>
          <cell r="G27" t="str">
            <v/>
          </cell>
          <cell r="H27" t="str">
            <v/>
          </cell>
          <cell r="I27">
            <v>10</v>
          </cell>
          <cell r="J27" t="str">
            <v>na</v>
          </cell>
          <cell r="L27" t="str">
            <v>A</v>
          </cell>
          <cell r="M27" t="str">
            <v>A</v>
          </cell>
          <cell r="S27" t="str">
            <v/>
          </cell>
          <cell r="U27">
            <v>0.9</v>
          </cell>
          <cell r="V27">
            <v>0.5</v>
          </cell>
          <cell r="W27">
            <v>0</v>
          </cell>
          <cell r="Y27">
            <v>2.6809651474530831</v>
          </cell>
          <cell r="Z27">
            <v>2000</v>
          </cell>
          <cell r="AA27" t="str">
            <v/>
          </cell>
          <cell r="AD27">
            <v>10.236000000000001</v>
          </cell>
          <cell r="AG27" t="str">
            <v>na</v>
          </cell>
          <cell r="AH27" t="str">
            <v>na</v>
          </cell>
          <cell r="AI27">
            <v>0</v>
          </cell>
          <cell r="AK27">
            <v>0</v>
          </cell>
          <cell r="AL27">
            <v>10.236000000000001</v>
          </cell>
          <cell r="AM27" t="e">
            <v>#VALUE!</v>
          </cell>
          <cell r="AN27" t="e">
            <v>#VALUE!</v>
          </cell>
          <cell r="AO27" t="str">
            <v/>
          </cell>
        </row>
        <row r="28">
          <cell r="A28" t="str">
            <v/>
          </cell>
          <cell r="D28" t="str">
            <v/>
          </cell>
          <cell r="E28" t="str">
            <v/>
          </cell>
          <cell r="F28" t="str">
            <v/>
          </cell>
          <cell r="G28" t="str">
            <v/>
          </cell>
          <cell r="H28" t="str">
            <v/>
          </cell>
          <cell r="I28">
            <v>10</v>
          </cell>
          <cell r="J28" t="str">
            <v>na</v>
          </cell>
          <cell r="L28" t="str">
            <v>A</v>
          </cell>
          <cell r="M28" t="str">
            <v>A</v>
          </cell>
          <cell r="S28" t="str">
            <v/>
          </cell>
          <cell r="U28">
            <v>0.9</v>
          </cell>
          <cell r="V28">
            <v>0.5</v>
          </cell>
          <cell r="W28">
            <v>0</v>
          </cell>
          <cell r="Y28">
            <v>2.6809651474530831</v>
          </cell>
          <cell r="Z28">
            <v>2000</v>
          </cell>
          <cell r="AA28" t="str">
            <v/>
          </cell>
          <cell r="AD28">
            <v>10.236000000000001</v>
          </cell>
          <cell r="AG28" t="str">
            <v>na</v>
          </cell>
          <cell r="AH28" t="str">
            <v>na</v>
          </cell>
          <cell r="AI28">
            <v>0</v>
          </cell>
          <cell r="AK28">
            <v>0</v>
          </cell>
          <cell r="AL28">
            <v>10.236000000000001</v>
          </cell>
          <cell r="AM28" t="e">
            <v>#VALUE!</v>
          </cell>
          <cell r="AN28" t="e">
            <v>#VALUE!</v>
          </cell>
          <cell r="AO28" t="str">
            <v/>
          </cell>
        </row>
        <row r="33">
          <cell r="A33" t="str">
            <v>RTU-1</v>
          </cell>
          <cell r="C33">
            <v>1</v>
          </cell>
          <cell r="D33" t="str">
            <v>Entry</v>
          </cell>
          <cell r="I33">
            <v>11.7</v>
          </cell>
          <cell r="J33" t="str">
            <v>na</v>
          </cell>
          <cell r="L33">
            <v>1.8877999999999999</v>
          </cell>
          <cell r="M33">
            <v>4000</v>
          </cell>
          <cell r="N33">
            <v>400</v>
          </cell>
          <cell r="Q33">
            <v>1.71</v>
          </cell>
          <cell r="S33">
            <v>1.71</v>
          </cell>
          <cell r="T33">
            <v>0.6</v>
          </cell>
          <cell r="U33">
            <v>0.85499999999999998</v>
          </cell>
          <cell r="V33">
            <v>0.51300000000000001</v>
          </cell>
          <cell r="X33">
            <v>2</v>
          </cell>
          <cell r="Y33">
            <v>1.7935808684707364</v>
          </cell>
          <cell r="Z33">
            <v>1338.0113278791694</v>
          </cell>
          <cell r="AA33">
            <v>119</v>
          </cell>
          <cell r="AB33">
            <v>9745.2171329162411</v>
          </cell>
          <cell r="AC33">
            <v>36336.740781031658</v>
          </cell>
          <cell r="AD33">
            <v>12.722236749975719</v>
          </cell>
          <cell r="AG33">
            <v>5.4127509243697475E-5</v>
          </cell>
          <cell r="AH33">
            <v>403.36134453781517</v>
          </cell>
          <cell r="AI33">
            <v>128</v>
          </cell>
          <cell r="AJ33" t="e">
            <v>#VALUE!</v>
          </cell>
          <cell r="AK33">
            <v>38974.489901781948</v>
          </cell>
          <cell r="AL33" t="e">
            <v>#VALUE!</v>
          </cell>
        </row>
        <row r="34">
          <cell r="A34" t="str">
            <v>AHU-1</v>
          </cell>
          <cell r="C34">
            <v>3</v>
          </cell>
          <cell r="D34" t="str">
            <v>Pharmacy</v>
          </cell>
          <cell r="H34" t="str">
            <v>Main coil --&gt;</v>
          </cell>
          <cell r="I34">
            <v>7.17291623812973</v>
          </cell>
          <cell r="J34" t="str">
            <v>na</v>
          </cell>
          <cell r="L34">
            <v>11.326700000000001</v>
          </cell>
          <cell r="M34">
            <v>24000</v>
          </cell>
          <cell r="N34">
            <v>4300</v>
          </cell>
          <cell r="Q34">
            <v>3.78</v>
          </cell>
          <cell r="S34">
            <v>3.78</v>
          </cell>
          <cell r="T34">
            <v>0.6</v>
          </cell>
          <cell r="U34">
            <v>0.92400000000000004</v>
          </cell>
          <cell r="V34">
            <v>0.5544</v>
          </cell>
          <cell r="X34">
            <v>25</v>
          </cell>
          <cell r="Y34">
            <v>23.78854625550661</v>
          </cell>
          <cell r="Z34">
            <v>17746.255506607929</v>
          </cell>
          <cell r="AA34">
            <v>430.9</v>
          </cell>
          <cell r="AB34">
            <v>55906.759993790292</v>
          </cell>
          <cell r="AC34">
            <v>135048.50334681125</v>
          </cell>
          <cell r="AD34">
            <v>7.17291623812973</v>
          </cell>
          <cell r="AG34">
            <v>8.9688327686238115E-5</v>
          </cell>
          <cell r="AH34">
            <v>668.36853098166625</v>
          </cell>
          <cell r="AI34">
            <v>933</v>
          </cell>
          <cell r="AJ34" t="e">
            <v>#VALUE!</v>
          </cell>
          <cell r="AK34">
            <v>282205.59596111369</v>
          </cell>
          <cell r="AL34" t="e">
            <v>#VALUE!</v>
          </cell>
        </row>
        <row r="35">
          <cell r="A35" t="str">
            <v/>
          </cell>
          <cell r="D35" t="str">
            <v/>
          </cell>
          <cell r="H35" t="str">
            <v>OA coil --&gt;</v>
          </cell>
          <cell r="I35">
            <v>7.5453869535616258</v>
          </cell>
          <cell r="J35" t="str">
            <v>na</v>
          </cell>
          <cell r="L35" t="str">
            <v/>
          </cell>
          <cell r="U35" t="str">
            <v/>
          </cell>
          <cell r="V35" t="str">
            <v/>
          </cell>
          <cell r="Y35" t="str">
            <v/>
          </cell>
          <cell r="Z35" t="e">
            <v>#DIV/0!</v>
          </cell>
          <cell r="AA35">
            <v>956.7</v>
          </cell>
          <cell r="AB35" t="e">
            <v>#VALUE!</v>
          </cell>
          <cell r="AC35" t="e">
            <v>#VALUE!</v>
          </cell>
          <cell r="AD35" t="e">
            <v>#VALUE!</v>
          </cell>
          <cell r="AG35" t="e">
            <v>#VALUE!</v>
          </cell>
          <cell r="AH35">
            <v>0</v>
          </cell>
          <cell r="AJ35" t="str">
            <v/>
          </cell>
          <cell r="AK35" t="str">
            <v/>
          </cell>
          <cell r="AL35" t="str">
            <v/>
          </cell>
        </row>
        <row r="36">
          <cell r="A36" t="str">
            <v/>
          </cell>
          <cell r="D36" t="str">
            <v/>
          </cell>
          <cell r="J36" t="str">
            <v>na</v>
          </cell>
          <cell r="L36" t="str">
            <v/>
          </cell>
          <cell r="U36" t="str">
            <v/>
          </cell>
          <cell r="V36" t="str">
            <v/>
          </cell>
          <cell r="Y36" t="str">
            <v/>
          </cell>
          <cell r="Z36" t="e">
            <v>#DIV/0!</v>
          </cell>
          <cell r="AB36" t="str">
            <v/>
          </cell>
          <cell r="AC36" t="str">
            <v/>
          </cell>
          <cell r="AD36" t="str">
            <v/>
          </cell>
          <cell r="AG36" t="e">
            <v>#VALUE!</v>
          </cell>
          <cell r="AH36" t="e">
            <v>#DIV/0!</v>
          </cell>
          <cell r="AJ36" t="str">
            <v/>
          </cell>
          <cell r="AK36" t="str">
            <v/>
          </cell>
          <cell r="AL36" t="str">
            <v/>
          </cell>
        </row>
        <row r="37">
          <cell r="A37" t="str">
            <v/>
          </cell>
          <cell r="D37" t="str">
            <v/>
          </cell>
          <cell r="L37" t="str">
            <v/>
          </cell>
          <cell r="S37" t="str">
            <v/>
          </cell>
          <cell r="U37" t="str">
            <v/>
          </cell>
          <cell r="V37" t="str">
            <v/>
          </cell>
          <cell r="Y37" t="str">
            <v/>
          </cell>
          <cell r="Z37" t="e">
            <v>#DIV/0!</v>
          </cell>
          <cell r="AB37" t="str">
            <v/>
          </cell>
          <cell r="AC37" t="str">
            <v/>
          </cell>
          <cell r="AD37" t="str">
            <v/>
          </cell>
          <cell r="AG37" t="e">
            <v>#VALUE!</v>
          </cell>
          <cell r="AH37" t="e">
            <v>#DIV/0!</v>
          </cell>
          <cell r="AJ37" t="str">
            <v/>
          </cell>
          <cell r="AK37" t="str">
            <v/>
          </cell>
          <cell r="AL37" t="str">
            <v/>
          </cell>
        </row>
        <row r="38">
          <cell r="A38" t="str">
            <v/>
          </cell>
          <cell r="D38" t="str">
            <v/>
          </cell>
          <cell r="L38" t="str">
            <v/>
          </cell>
          <cell r="S38" t="str">
            <v/>
          </cell>
          <cell r="U38" t="str">
            <v/>
          </cell>
          <cell r="V38" t="str">
            <v/>
          </cell>
          <cell r="Y38" t="str">
            <v/>
          </cell>
          <cell r="Z38" t="e">
            <v>#DIV/0!</v>
          </cell>
          <cell r="AB38" t="str">
            <v/>
          </cell>
          <cell r="AC38" t="str">
            <v/>
          </cell>
          <cell r="AD38" t="str">
            <v/>
          </cell>
          <cell r="AG38" t="e">
            <v>#VALUE!</v>
          </cell>
          <cell r="AH38" t="e">
            <v>#DIV/0!</v>
          </cell>
          <cell r="AJ38" t="str">
            <v/>
          </cell>
          <cell r="AK38" t="str">
            <v/>
          </cell>
          <cell r="AL38" t="str">
            <v/>
          </cell>
        </row>
        <row r="39">
          <cell r="A39" t="str">
            <v/>
          </cell>
          <cell r="D39" t="str">
            <v/>
          </cell>
          <cell r="L39" t="str">
            <v/>
          </cell>
          <cell r="S39" t="str">
            <v/>
          </cell>
          <cell r="U39" t="str">
            <v/>
          </cell>
          <cell r="V39" t="str">
            <v/>
          </cell>
          <cell r="Y39" t="str">
            <v/>
          </cell>
          <cell r="Z39" t="e">
            <v>#DIV/0!</v>
          </cell>
          <cell r="AB39" t="str">
            <v/>
          </cell>
          <cell r="AC39" t="str">
            <v/>
          </cell>
          <cell r="AD39" t="str">
            <v/>
          </cell>
          <cell r="AG39" t="e">
            <v>#VALUE!</v>
          </cell>
          <cell r="AH39" t="e">
            <v>#DIV/0!</v>
          </cell>
          <cell r="AJ39" t="str">
            <v/>
          </cell>
          <cell r="AK39" t="str">
            <v/>
          </cell>
          <cell r="AL39" t="str">
            <v/>
          </cell>
        </row>
        <row r="40">
          <cell r="A40" t="str">
            <v/>
          </cell>
          <cell r="D40" t="str">
            <v/>
          </cell>
          <cell r="L40" t="str">
            <v/>
          </cell>
          <cell r="S40" t="str">
            <v/>
          </cell>
          <cell r="U40" t="str">
            <v/>
          </cell>
          <cell r="V40" t="str">
            <v/>
          </cell>
          <cell r="Y40" t="str">
            <v/>
          </cell>
          <cell r="Z40" t="e">
            <v>#DIV/0!</v>
          </cell>
          <cell r="AB40" t="str">
            <v/>
          </cell>
          <cell r="AC40" t="str">
            <v/>
          </cell>
          <cell r="AD40" t="str">
            <v/>
          </cell>
          <cell r="AG40" t="e">
            <v>#VALUE!</v>
          </cell>
          <cell r="AH40" t="e">
            <v>#DIV/0!</v>
          </cell>
          <cell r="AJ40" t="str">
            <v/>
          </cell>
          <cell r="AK40" t="str">
            <v/>
          </cell>
          <cell r="AL40" t="str">
            <v/>
          </cell>
        </row>
        <row r="41">
          <cell r="A41" t="str">
            <v/>
          </cell>
          <cell r="D41" t="str">
            <v/>
          </cell>
          <cell r="L41" t="str">
            <v/>
          </cell>
          <cell r="S41" t="str">
            <v/>
          </cell>
          <cell r="U41" t="str">
            <v/>
          </cell>
          <cell r="V41" t="str">
            <v/>
          </cell>
          <cell r="Y41" t="str">
            <v/>
          </cell>
          <cell r="Z41" t="e">
            <v>#DIV/0!</v>
          </cell>
          <cell r="AB41" t="str">
            <v/>
          </cell>
          <cell r="AC41" t="str">
            <v/>
          </cell>
          <cell r="AD41" t="str">
            <v/>
          </cell>
          <cell r="AG41" t="e">
            <v>#VALUE!</v>
          </cell>
          <cell r="AH41" t="e">
            <v>#DIV/0!</v>
          </cell>
          <cell r="AJ41" t="str">
            <v/>
          </cell>
          <cell r="AK41" t="str">
            <v/>
          </cell>
          <cell r="AL41" t="str">
            <v/>
          </cell>
        </row>
        <row r="42">
          <cell r="A42" t="str">
            <v/>
          </cell>
          <cell r="D42" t="str">
            <v/>
          </cell>
          <cell r="L42" t="str">
            <v/>
          </cell>
          <cell r="S42" t="str">
            <v/>
          </cell>
          <cell r="U42" t="str">
            <v/>
          </cell>
          <cell r="V42" t="str">
            <v/>
          </cell>
          <cell r="Y42" t="str">
            <v/>
          </cell>
          <cell r="Z42" t="e">
            <v>#DIV/0!</v>
          </cell>
          <cell r="AB42" t="str">
            <v/>
          </cell>
          <cell r="AC42" t="str">
            <v/>
          </cell>
          <cell r="AD42" t="str">
            <v/>
          </cell>
          <cell r="AG42" t="e">
            <v>#VALUE!</v>
          </cell>
          <cell r="AH42" t="e">
            <v>#DIV/0!</v>
          </cell>
          <cell r="AJ42" t="str">
            <v/>
          </cell>
          <cell r="AK42" t="str">
            <v/>
          </cell>
          <cell r="AL42" t="str">
            <v/>
          </cell>
        </row>
        <row r="43">
          <cell r="A43" t="str">
            <v/>
          </cell>
          <cell r="D43" t="str">
            <v/>
          </cell>
          <cell r="L43" t="str">
            <v/>
          </cell>
          <cell r="S43" t="str">
            <v/>
          </cell>
          <cell r="U43" t="str">
            <v/>
          </cell>
          <cell r="V43" t="str">
            <v/>
          </cell>
          <cell r="Y43" t="str">
            <v/>
          </cell>
          <cell r="Z43" t="e">
            <v>#DIV/0!</v>
          </cell>
          <cell r="AB43" t="str">
            <v/>
          </cell>
          <cell r="AC43" t="str">
            <v/>
          </cell>
          <cell r="AD43" t="str">
            <v/>
          </cell>
          <cell r="AG43" t="e">
            <v>#VALUE!</v>
          </cell>
          <cell r="AH43" t="e">
            <v>#DIV/0!</v>
          </cell>
          <cell r="AJ43" t="str">
            <v/>
          </cell>
          <cell r="AK43" t="str">
            <v/>
          </cell>
          <cell r="AL43" t="str">
            <v/>
          </cell>
        </row>
        <row r="44">
          <cell r="A44" t="str">
            <v/>
          </cell>
          <cell r="D44" t="str">
            <v/>
          </cell>
          <cell r="L44" t="str">
            <v/>
          </cell>
          <cell r="S44" t="str">
            <v/>
          </cell>
          <cell r="U44" t="str">
            <v/>
          </cell>
          <cell r="V44" t="str">
            <v/>
          </cell>
          <cell r="Y44" t="str">
            <v/>
          </cell>
          <cell r="Z44" t="e">
            <v>#DIV/0!</v>
          </cell>
          <cell r="AB44" t="str">
            <v/>
          </cell>
          <cell r="AC44" t="str">
            <v/>
          </cell>
          <cell r="AD44" t="str">
            <v/>
          </cell>
          <cell r="AG44" t="e">
            <v>#VALUE!</v>
          </cell>
          <cell r="AH44" t="e">
            <v>#DIV/0!</v>
          </cell>
          <cell r="AJ44" t="str">
            <v/>
          </cell>
          <cell r="AK44" t="str">
            <v/>
          </cell>
          <cell r="AL44" t="str">
            <v/>
          </cell>
        </row>
        <row r="45">
          <cell r="A45" t="str">
            <v/>
          </cell>
          <cell r="D45" t="str">
            <v/>
          </cell>
          <cell r="L45" t="str">
            <v/>
          </cell>
          <cell r="S45" t="str">
            <v/>
          </cell>
          <cell r="U45" t="str">
            <v/>
          </cell>
          <cell r="V45" t="str">
            <v/>
          </cell>
          <cell r="Y45" t="str">
            <v/>
          </cell>
          <cell r="Z45" t="e">
            <v>#DIV/0!</v>
          </cell>
          <cell r="AB45" t="str">
            <v/>
          </cell>
          <cell r="AC45" t="str">
            <v/>
          </cell>
          <cell r="AD45" t="str">
            <v/>
          </cell>
          <cell r="AG45" t="e">
            <v>#VALUE!</v>
          </cell>
          <cell r="AH45" t="e">
            <v>#DIV/0!</v>
          </cell>
          <cell r="AJ45" t="str">
            <v/>
          </cell>
          <cell r="AK45" t="str">
            <v/>
          </cell>
          <cell r="AL45" t="str">
            <v/>
          </cell>
        </row>
        <row r="46">
          <cell r="A46" t="str">
            <v/>
          </cell>
          <cell r="D46" t="str">
            <v/>
          </cell>
          <cell r="L46" t="str">
            <v/>
          </cell>
          <cell r="S46" t="str">
            <v/>
          </cell>
          <cell r="U46" t="str">
            <v/>
          </cell>
          <cell r="V46" t="str">
            <v/>
          </cell>
          <cell r="Y46" t="str">
            <v/>
          </cell>
          <cell r="Z46" t="e">
            <v>#DIV/0!</v>
          </cell>
          <cell r="AB46" t="str">
            <v/>
          </cell>
          <cell r="AC46" t="str">
            <v/>
          </cell>
          <cell r="AD46" t="str">
            <v/>
          </cell>
          <cell r="AG46" t="e">
            <v>#VALUE!</v>
          </cell>
          <cell r="AH46" t="e">
            <v>#DIV/0!</v>
          </cell>
          <cell r="AJ46" t="str">
            <v/>
          </cell>
          <cell r="AK46" t="str">
            <v/>
          </cell>
          <cell r="AL46" t="str">
            <v/>
          </cell>
        </row>
        <row r="47">
          <cell r="A47" t="str">
            <v/>
          </cell>
          <cell r="D47" t="str">
            <v/>
          </cell>
          <cell r="L47" t="str">
            <v/>
          </cell>
          <cell r="S47" t="str">
            <v/>
          </cell>
          <cell r="U47" t="str">
            <v/>
          </cell>
          <cell r="V47" t="str">
            <v/>
          </cell>
          <cell r="Y47" t="str">
            <v/>
          </cell>
          <cell r="Z47" t="e">
            <v>#DIV/0!</v>
          </cell>
          <cell r="AB47" t="str">
            <v/>
          </cell>
          <cell r="AC47" t="str">
            <v/>
          </cell>
          <cell r="AD47" t="str">
            <v/>
          </cell>
          <cell r="AG47" t="e">
            <v>#VALUE!</v>
          </cell>
          <cell r="AH47" t="e">
            <v>#DIV/0!</v>
          </cell>
          <cell r="AJ47" t="str">
            <v/>
          </cell>
          <cell r="AK47" t="str">
            <v/>
          </cell>
          <cell r="AL47" t="str">
            <v/>
          </cell>
        </row>
        <row r="48">
          <cell r="A48" t="str">
            <v/>
          </cell>
          <cell r="D48" t="str">
            <v/>
          </cell>
          <cell r="L48" t="str">
            <v/>
          </cell>
          <cell r="S48" t="str">
            <v/>
          </cell>
          <cell r="U48" t="str">
            <v/>
          </cell>
          <cell r="V48" t="str">
            <v/>
          </cell>
          <cell r="Y48" t="str">
            <v/>
          </cell>
          <cell r="Z48" t="e">
            <v>#DIV/0!</v>
          </cell>
          <cell r="AB48" t="str">
            <v/>
          </cell>
          <cell r="AC48" t="str">
            <v/>
          </cell>
          <cell r="AD48" t="str">
            <v/>
          </cell>
          <cell r="AG48" t="e">
            <v>#VALUE!</v>
          </cell>
          <cell r="AH48" t="e">
            <v>#DIV/0!</v>
          </cell>
          <cell r="AJ48" t="str">
            <v/>
          </cell>
          <cell r="AK48" t="str">
            <v/>
          </cell>
          <cell r="AL48" t="str">
            <v/>
          </cell>
        </row>
        <row r="49">
          <cell r="A49" t="str">
            <v/>
          </cell>
          <cell r="D49" t="str">
            <v/>
          </cell>
          <cell r="L49" t="str">
            <v/>
          </cell>
          <cell r="S49" t="str">
            <v/>
          </cell>
          <cell r="U49" t="str">
            <v/>
          </cell>
          <cell r="V49" t="str">
            <v/>
          </cell>
          <cell r="Y49" t="str">
            <v/>
          </cell>
          <cell r="Z49" t="e">
            <v>#DIV/0!</v>
          </cell>
          <cell r="AB49" t="str">
            <v/>
          </cell>
          <cell r="AC49" t="str">
            <v/>
          </cell>
          <cell r="AD49" t="str">
            <v/>
          </cell>
          <cell r="AG49" t="e">
            <v>#VALUE!</v>
          </cell>
          <cell r="AH49" t="e">
            <v>#DIV/0!</v>
          </cell>
          <cell r="AJ49" t="str">
            <v/>
          </cell>
          <cell r="AK49" t="str">
            <v/>
          </cell>
          <cell r="AL49" t="str">
            <v/>
          </cell>
        </row>
        <row r="50">
          <cell r="A50" t="str">
            <v/>
          </cell>
          <cell r="D50" t="str">
            <v/>
          </cell>
          <cell r="L50" t="str">
            <v/>
          </cell>
          <cell r="S50" t="str">
            <v/>
          </cell>
          <cell r="U50" t="str">
            <v/>
          </cell>
          <cell r="V50" t="str">
            <v/>
          </cell>
          <cell r="Y50" t="str">
            <v/>
          </cell>
          <cell r="Z50" t="e">
            <v>#DIV/0!</v>
          </cell>
          <cell r="AB50" t="str">
            <v/>
          </cell>
          <cell r="AC50" t="str">
            <v/>
          </cell>
          <cell r="AD50" t="str">
            <v/>
          </cell>
          <cell r="AG50" t="e">
            <v>#VALUE!</v>
          </cell>
          <cell r="AH50" t="e">
            <v>#DIV/0!</v>
          </cell>
          <cell r="AJ50" t="str">
            <v/>
          </cell>
          <cell r="AK50" t="str">
            <v/>
          </cell>
          <cell r="AL50" t="str">
            <v/>
          </cell>
        </row>
        <row r="51">
          <cell r="A51" t="str">
            <v/>
          </cell>
          <cell r="D51" t="str">
            <v/>
          </cell>
          <cell r="L51" t="str">
            <v/>
          </cell>
          <cell r="S51" t="str">
            <v/>
          </cell>
          <cell r="U51" t="str">
            <v/>
          </cell>
          <cell r="V51" t="str">
            <v/>
          </cell>
          <cell r="Y51" t="str">
            <v/>
          </cell>
          <cell r="Z51" t="e">
            <v>#DIV/0!</v>
          </cell>
          <cell r="AB51" t="str">
            <v/>
          </cell>
          <cell r="AC51" t="str">
            <v/>
          </cell>
          <cell r="AD51" t="str">
            <v/>
          </cell>
          <cell r="AG51" t="e">
            <v>#VALUE!</v>
          </cell>
          <cell r="AH51" t="e">
            <v>#DIV/0!</v>
          </cell>
          <cell r="AJ51" t="str">
            <v/>
          </cell>
          <cell r="AK51" t="str">
            <v/>
          </cell>
          <cell r="AL51" t="str">
            <v/>
          </cell>
        </row>
        <row r="52">
          <cell r="A52" t="str">
            <v/>
          </cell>
          <cell r="D52" t="str">
            <v/>
          </cell>
          <cell r="L52" t="str">
            <v/>
          </cell>
          <cell r="S52" t="str">
            <v/>
          </cell>
          <cell r="U52" t="str">
            <v/>
          </cell>
          <cell r="V52" t="str">
            <v/>
          </cell>
          <cell r="Y52" t="str">
            <v/>
          </cell>
          <cell r="Z52" t="e">
            <v>#DIV/0!</v>
          </cell>
          <cell r="AB52" t="str">
            <v/>
          </cell>
          <cell r="AC52" t="str">
            <v/>
          </cell>
          <cell r="AD52" t="str">
            <v/>
          </cell>
          <cell r="AG52" t="e">
            <v>#VALUE!</v>
          </cell>
          <cell r="AH52" t="e">
            <v>#DIV/0!</v>
          </cell>
          <cell r="AJ52" t="str">
            <v/>
          </cell>
          <cell r="AK52" t="str">
            <v/>
          </cell>
          <cell r="AL52" t="str">
            <v/>
          </cell>
        </row>
        <row r="83">
          <cell r="A83" t="str">
            <v>Name</v>
          </cell>
          <cell r="C83" t="str">
            <v>(ft2)</v>
          </cell>
          <cell r="D83" t="str">
            <v>(MBH)</v>
          </cell>
          <cell r="E83" t="str">
            <v>(gpm)</v>
          </cell>
          <cell r="F83" t="str">
            <v xml:space="preserve"> (Exh cfm)</v>
          </cell>
          <cell r="G83" t="str">
            <v xml:space="preserve"> (Exh ∆P)</v>
          </cell>
          <cell r="H83" t="str">
            <v>Exh Fan η</v>
          </cell>
          <cell r="I83" t="str">
            <v>TU min. cfm</v>
          </cell>
          <cell r="J83" t="str">
            <v>TU max. cfm</v>
          </cell>
          <cell r="K83" t="str">
            <v>TU Fan CFM</v>
          </cell>
          <cell r="L83" t="str">
            <v>TU ∆P</v>
          </cell>
          <cell r="M83" t="str">
            <v>TU Fan η</v>
          </cell>
          <cell r="N83" t="str">
            <v>Eq. Clg EER</v>
          </cell>
          <cell r="O83" t="str">
            <v>Eq. Htg EER</v>
          </cell>
          <cell r="P83" t="str">
            <v>Min. Outdoor Air</v>
          </cell>
          <cell r="R83" t="str">
            <v>Clg Cap'y (MBH)</v>
          </cell>
          <cell r="T83" t="str">
            <v>Htg Cap'y (MBH)</v>
          </cell>
          <cell r="U83" t="str">
            <v>Suppl. Htg Cap'y (MBH)</v>
          </cell>
          <cell r="V83" t="str">
            <v>Reheat Water 
flow 4</v>
          </cell>
          <cell r="W83" t="str">
            <v xml:space="preserve"> (Rht cfm)</v>
          </cell>
          <cell r="X83" t="str">
            <v>(Rht m3/s)</v>
          </cell>
          <cell r="Y83" t="str">
            <v>Baseline Ltg</v>
          </cell>
          <cell r="Z83" t="str">
            <v>Proposed Ltg</v>
          </cell>
          <cell r="AA83" t="str">
            <v>Plug W/sq.ft.</v>
          </cell>
          <cell r="AB83" t="str">
            <v>Elect. (W / sq.ft.)</v>
          </cell>
        </row>
        <row r="84">
          <cell r="A84" t="str">
            <v>Entry</v>
          </cell>
          <cell r="C84">
            <v>1655.1598841180555</v>
          </cell>
          <cell r="D84">
            <v>0</v>
          </cell>
          <cell r="E84">
            <v>0</v>
          </cell>
          <cell r="F84">
            <v>1</v>
          </cell>
          <cell r="G84">
            <v>0</v>
          </cell>
          <cell r="H84">
            <v>1</v>
          </cell>
          <cell r="I84">
            <v>0</v>
          </cell>
          <cell r="J84">
            <v>0</v>
          </cell>
          <cell r="K84">
            <v>0</v>
          </cell>
          <cell r="L84">
            <v>0</v>
          </cell>
          <cell r="M84" t="e">
            <v>#DIV/0!</v>
          </cell>
          <cell r="N84">
            <v>0</v>
          </cell>
          <cell r="O84">
            <v>0</v>
          </cell>
          <cell r="P84">
            <v>190.857632735061</v>
          </cell>
          <cell r="R84">
            <v>0</v>
          </cell>
          <cell r="T84">
            <v>0</v>
          </cell>
          <cell r="U84" t="e">
            <v>#VALUE!</v>
          </cell>
          <cell r="V84">
            <v>0</v>
          </cell>
          <cell r="W84">
            <v>662.06395364722221</v>
          </cell>
          <cell r="X84">
            <v>4.1765326371891384E-2</v>
          </cell>
          <cell r="Y84">
            <v>0</v>
          </cell>
          <cell r="Z84">
            <v>0</v>
          </cell>
          <cell r="AA84">
            <v>0.5</v>
          </cell>
          <cell r="AB84" t="e">
            <v>#N/A</v>
          </cell>
        </row>
        <row r="85">
          <cell r="A85" t="str">
            <v>MainStore</v>
          </cell>
          <cell r="C85">
            <v>31872.780004312499</v>
          </cell>
          <cell r="D85">
            <v>0</v>
          </cell>
          <cell r="E85">
            <v>0</v>
          </cell>
          <cell r="F85">
            <v>1</v>
          </cell>
          <cell r="G85">
            <v>0</v>
          </cell>
          <cell r="H85">
            <v>1</v>
          </cell>
          <cell r="I85">
            <v>0</v>
          </cell>
          <cell r="J85">
            <v>0</v>
          </cell>
          <cell r="K85">
            <v>0</v>
          </cell>
          <cell r="L85">
            <v>0</v>
          </cell>
          <cell r="M85" t="e">
            <v>#DIV/0!</v>
          </cell>
          <cell r="N85">
            <v>0</v>
          </cell>
          <cell r="O85">
            <v>0</v>
          </cell>
          <cell r="P85">
            <v>3675.2723399587812</v>
          </cell>
          <cell r="R85">
            <v>0</v>
          </cell>
          <cell r="T85">
            <v>0</v>
          </cell>
          <cell r="U85" t="e">
            <v>#VALUE!</v>
          </cell>
          <cell r="V85">
            <v>0</v>
          </cell>
          <cell r="W85">
            <v>12749.112001725</v>
          </cell>
          <cell r="X85">
            <v>0.80425889488550339</v>
          </cell>
          <cell r="Y85">
            <v>0</v>
          </cell>
          <cell r="Z85">
            <v>0</v>
          </cell>
          <cell r="AA85">
            <v>0.5</v>
          </cell>
          <cell r="AB85" t="e">
            <v>#N/A</v>
          </cell>
        </row>
        <row r="86">
          <cell r="A86" t="str">
            <v>Pharmacy</v>
          </cell>
          <cell r="C86">
            <v>990.16815854861102</v>
          </cell>
          <cell r="D86">
            <v>0</v>
          </cell>
          <cell r="E86">
            <v>0</v>
          </cell>
          <cell r="F86">
            <v>1</v>
          </cell>
          <cell r="G86">
            <v>0</v>
          </cell>
          <cell r="H86">
            <v>1</v>
          </cell>
          <cell r="I86">
            <v>0</v>
          </cell>
          <cell r="J86">
            <v>0</v>
          </cell>
          <cell r="K86">
            <v>0</v>
          </cell>
          <cell r="L86">
            <v>0</v>
          </cell>
          <cell r="M86" t="e">
            <v>#DIV/0!</v>
          </cell>
          <cell r="N86">
            <v>0</v>
          </cell>
          <cell r="O86">
            <v>0</v>
          </cell>
          <cell r="P86">
            <v>114.17697623267387</v>
          </cell>
          <cell r="R86">
            <v>0</v>
          </cell>
          <cell r="T86">
            <v>0</v>
          </cell>
          <cell r="U86" t="e">
            <v>#VALUE!</v>
          </cell>
          <cell r="V86">
            <v>0</v>
          </cell>
          <cell r="W86">
            <v>396.06726341944443</v>
          </cell>
          <cell r="X86">
            <v>2.4985318156664424E-2</v>
          </cell>
          <cell r="Y86">
            <v>0</v>
          </cell>
          <cell r="Z86">
            <v>0</v>
          </cell>
          <cell r="AA86">
            <v>0.5</v>
          </cell>
          <cell r="AB86" t="e">
            <v>#N/A</v>
          </cell>
        </row>
        <row r="87">
          <cell r="A87" t="str">
            <v>Offices</v>
          </cell>
          <cell r="C87">
            <v>1309.1015484583334</v>
          </cell>
          <cell r="D87">
            <v>0</v>
          </cell>
          <cell r="E87">
            <v>0</v>
          </cell>
          <cell r="F87">
            <v>1</v>
          </cell>
          <cell r="G87">
            <v>0</v>
          </cell>
          <cell r="H87">
            <v>1</v>
          </cell>
          <cell r="I87">
            <v>0</v>
          </cell>
          <cell r="J87">
            <v>0</v>
          </cell>
          <cell r="K87">
            <v>0</v>
          </cell>
          <cell r="L87">
            <v>0</v>
          </cell>
          <cell r="M87" t="e">
            <v>#DIV/0!</v>
          </cell>
          <cell r="N87">
            <v>0</v>
          </cell>
          <cell r="O87">
            <v>0</v>
          </cell>
          <cell r="P87">
            <v>150.95340634218715</v>
          </cell>
          <cell r="R87">
            <v>0</v>
          </cell>
          <cell r="T87">
            <v>0</v>
          </cell>
          <cell r="U87" t="e">
            <v>#VALUE!</v>
          </cell>
          <cell r="V87">
            <v>0</v>
          </cell>
          <cell r="W87">
            <v>523.64061938333339</v>
          </cell>
          <cell r="X87">
            <v>3.3033094838716463E-2</v>
          </cell>
          <cell r="Y87">
            <v>0</v>
          </cell>
          <cell r="Z87">
            <v>0</v>
          </cell>
          <cell r="AA87">
            <v>0.5</v>
          </cell>
          <cell r="AB87" t="e">
            <v>#N/A</v>
          </cell>
        </row>
        <row r="88">
          <cell r="A88" t="str">
            <v>Employees</v>
          </cell>
          <cell r="C88">
            <v>671.55768465972221</v>
          </cell>
          <cell r="D88">
            <v>0</v>
          </cell>
          <cell r="E88">
            <v>0</v>
          </cell>
          <cell r="F88">
            <v>1</v>
          </cell>
          <cell r="G88">
            <v>0</v>
          </cell>
          <cell r="H88">
            <v>1</v>
          </cell>
          <cell r="I88">
            <v>0</v>
          </cell>
          <cell r="J88">
            <v>0</v>
          </cell>
          <cell r="K88">
            <v>0</v>
          </cell>
          <cell r="L88">
            <v>0</v>
          </cell>
          <cell r="M88" t="e">
            <v>#DIV/0!</v>
          </cell>
          <cell r="N88">
            <v>0</v>
          </cell>
          <cell r="O88">
            <v>0</v>
          </cell>
          <cell r="P88">
            <v>77.4377817932006</v>
          </cell>
          <cell r="R88">
            <v>0</v>
          </cell>
          <cell r="T88">
            <v>0</v>
          </cell>
          <cell r="U88" t="e">
            <v>#VALUE!</v>
          </cell>
          <cell r="V88">
            <v>0</v>
          </cell>
          <cell r="W88">
            <v>268.62307386388892</v>
          </cell>
          <cell r="X88">
            <v>1.6945689746649565E-2</v>
          </cell>
          <cell r="Y88">
            <v>0</v>
          </cell>
          <cell r="Z88">
            <v>0</v>
          </cell>
          <cell r="AA88">
            <v>0.5</v>
          </cell>
          <cell r="AB88" t="e">
            <v>#N/A</v>
          </cell>
        </row>
        <row r="89">
          <cell r="A89" t="str">
            <v>Café</v>
          </cell>
          <cell r="C89">
            <v>791.79008308333334</v>
          </cell>
          <cell r="D89">
            <v>0</v>
          </cell>
          <cell r="E89">
            <v>0</v>
          </cell>
          <cell r="F89">
            <v>1</v>
          </cell>
          <cell r="G89">
            <v>0</v>
          </cell>
          <cell r="H89">
            <v>1</v>
          </cell>
          <cell r="I89">
            <v>0</v>
          </cell>
          <cell r="J89">
            <v>0</v>
          </cell>
          <cell r="K89">
            <v>0</v>
          </cell>
          <cell r="L89">
            <v>0</v>
          </cell>
          <cell r="M89" t="e">
            <v>#DIV/0!</v>
          </cell>
          <cell r="N89">
            <v>0</v>
          </cell>
          <cell r="O89">
            <v>0</v>
          </cell>
          <cell r="P89">
            <v>91.301862938096434</v>
          </cell>
          <cell r="R89">
            <v>0</v>
          </cell>
          <cell r="T89">
            <v>0</v>
          </cell>
          <cell r="U89" t="e">
            <v>#VALUE!</v>
          </cell>
          <cell r="V89">
            <v>0</v>
          </cell>
          <cell r="W89">
            <v>316.71603323333335</v>
          </cell>
          <cell r="X89">
            <v>1.9979563035158552E-2</v>
          </cell>
          <cell r="Y89">
            <v>0</v>
          </cell>
          <cell r="Z89">
            <v>0</v>
          </cell>
          <cell r="AA89">
            <v>0.5</v>
          </cell>
          <cell r="AB89" t="e">
            <v>#N/A</v>
          </cell>
        </row>
        <row r="90">
          <cell r="A90" t="str">
            <v>Bakery</v>
          </cell>
          <cell r="C90">
            <v>1432.2401910694443</v>
          </cell>
          <cell r="D90">
            <v>0</v>
          </cell>
          <cell r="E90">
            <v>0</v>
          </cell>
          <cell r="F90">
            <v>1</v>
          </cell>
          <cell r="G90">
            <v>0</v>
          </cell>
          <cell r="H90">
            <v>1</v>
          </cell>
          <cell r="I90">
            <v>0</v>
          </cell>
          <cell r="J90">
            <v>0</v>
          </cell>
          <cell r="K90">
            <v>0</v>
          </cell>
          <cell r="L90">
            <v>0</v>
          </cell>
          <cell r="M90" t="e">
            <v>#DIV/0!</v>
          </cell>
          <cell r="N90">
            <v>0</v>
          </cell>
          <cell r="O90">
            <v>0</v>
          </cell>
          <cell r="R90">
            <v>0</v>
          </cell>
          <cell r="T90">
            <v>0</v>
          </cell>
          <cell r="U90" t="e">
            <v>#VALUE!</v>
          </cell>
          <cell r="V90">
            <v>0</v>
          </cell>
          <cell r="W90">
            <v>572.89607642777776</v>
          </cell>
          <cell r="X90">
            <v>3.6140302575560043E-2</v>
          </cell>
          <cell r="Y90">
            <v>0</v>
          </cell>
          <cell r="Z90">
            <v>0</v>
          </cell>
          <cell r="AA90">
            <v>0</v>
          </cell>
          <cell r="AB90">
            <v>0</v>
          </cell>
        </row>
        <row r="91">
          <cell r="A91" t="str">
            <v>Deli</v>
          </cell>
          <cell r="C91">
            <v>1641.5974112430554</v>
          </cell>
          <cell r="D91">
            <v>0</v>
          </cell>
          <cell r="E91">
            <v>0</v>
          </cell>
          <cell r="F91">
            <v>1</v>
          </cell>
          <cell r="G91">
            <v>0</v>
          </cell>
          <cell r="H91">
            <v>1</v>
          </cell>
          <cell r="I91">
            <v>0</v>
          </cell>
          <cell r="J91">
            <v>0</v>
          </cell>
          <cell r="K91">
            <v>0</v>
          </cell>
          <cell r="L91">
            <v>0</v>
          </cell>
          <cell r="M91" t="e">
            <v>#DIV/0!</v>
          </cell>
          <cell r="N91">
            <v>0</v>
          </cell>
          <cell r="O91">
            <v>0</v>
          </cell>
          <cell r="R91">
            <v>0</v>
          </cell>
          <cell r="T91">
            <v>0</v>
          </cell>
          <cell r="U91" t="e">
            <v>#VALUE!</v>
          </cell>
          <cell r="V91">
            <v>0</v>
          </cell>
          <cell r="W91">
            <v>656.63896449722222</v>
          </cell>
          <cell r="X91">
            <v>4.1423098946329943E-2</v>
          </cell>
          <cell r="Y91">
            <v>1.4999999999999998</v>
          </cell>
          <cell r="Z91">
            <v>1.345031360842639</v>
          </cell>
          <cell r="AA91">
            <v>0</v>
          </cell>
          <cell r="AB91">
            <v>0</v>
          </cell>
        </row>
        <row r="92">
          <cell r="A92" t="str">
            <v>Dock_BackRm</v>
          </cell>
          <cell r="C92">
            <v>6707.6115847499987</v>
          </cell>
          <cell r="D92">
            <v>0</v>
          </cell>
          <cell r="E92">
            <v>0</v>
          </cell>
          <cell r="F92">
            <v>1</v>
          </cell>
          <cell r="G92">
            <v>0</v>
          </cell>
          <cell r="H92">
            <v>1</v>
          </cell>
          <cell r="I92">
            <v>0</v>
          </cell>
          <cell r="J92">
            <v>0</v>
          </cell>
          <cell r="K92">
            <v>0</v>
          </cell>
          <cell r="L92">
            <v>0</v>
          </cell>
          <cell r="M92" t="e">
            <v>#DIV/0!</v>
          </cell>
          <cell r="N92">
            <v>0</v>
          </cell>
          <cell r="O92">
            <v>0</v>
          </cell>
          <cell r="R92">
            <v>0</v>
          </cell>
          <cell r="T92">
            <v>0</v>
          </cell>
          <cell r="U92" t="e">
            <v>#VALUE!</v>
          </cell>
          <cell r="V92">
            <v>0</v>
          </cell>
          <cell r="W92">
            <v>2683.0446338999996</v>
          </cell>
          <cell r="X92">
            <v>0.16925590675624524</v>
          </cell>
          <cell r="Y92">
            <v>0</v>
          </cell>
          <cell r="Z92">
            <v>0</v>
          </cell>
          <cell r="AA92">
            <v>0.5</v>
          </cell>
          <cell r="AB92" t="e">
            <v>#N/A</v>
          </cell>
        </row>
        <row r="93">
          <cell r="A93" t="str">
            <v>GenSetRm</v>
          </cell>
          <cell r="C93">
            <v>258.97864870833331</v>
          </cell>
          <cell r="D93">
            <v>0</v>
          </cell>
          <cell r="E93">
            <v>0</v>
          </cell>
          <cell r="F93">
            <v>1</v>
          </cell>
          <cell r="G93">
            <v>0</v>
          </cell>
          <cell r="H93">
            <v>1</v>
          </cell>
          <cell r="I93">
            <v>0</v>
          </cell>
          <cell r="J93">
            <v>0</v>
          </cell>
          <cell r="K93">
            <v>0</v>
          </cell>
          <cell r="L93">
            <v>0</v>
          </cell>
          <cell r="M93" t="e">
            <v>#DIV/0!</v>
          </cell>
          <cell r="N93">
            <v>0</v>
          </cell>
          <cell r="O93">
            <v>0</v>
          </cell>
          <cell r="R93">
            <v>0</v>
          </cell>
          <cell r="T93">
            <v>0</v>
          </cell>
          <cell r="U93" t="e">
            <v>#VALUE!</v>
          </cell>
          <cell r="V93">
            <v>0</v>
          </cell>
          <cell r="W93">
            <v>103.59145948333332</v>
          </cell>
          <cell r="X93">
            <v>6.5349141738161318E-3</v>
          </cell>
          <cell r="Y93">
            <v>0</v>
          </cell>
          <cell r="Z93">
            <v>0</v>
          </cell>
          <cell r="AA93" t="e">
            <v>#N/A</v>
          </cell>
          <cell r="AB93" t="e">
            <v>#N/A</v>
          </cell>
        </row>
        <row r="94">
          <cell r="A94" t="str">
            <v>DeliFreezer</v>
          </cell>
          <cell r="C94" t="e">
            <v>#N/A</v>
          </cell>
          <cell r="D94">
            <v>0</v>
          </cell>
          <cell r="E94">
            <v>0</v>
          </cell>
          <cell r="F94">
            <v>1</v>
          </cell>
          <cell r="G94">
            <v>0</v>
          </cell>
          <cell r="H94">
            <v>1</v>
          </cell>
          <cell r="I94">
            <v>0</v>
          </cell>
          <cell r="J94">
            <v>0</v>
          </cell>
          <cell r="K94">
            <v>0</v>
          </cell>
          <cell r="L94">
            <v>0</v>
          </cell>
          <cell r="M94" t="e">
            <v>#DIV/0!</v>
          </cell>
          <cell r="N94">
            <v>0</v>
          </cell>
          <cell r="O94">
            <v>0</v>
          </cell>
          <cell r="R94">
            <v>0</v>
          </cell>
          <cell r="T94">
            <v>0</v>
          </cell>
          <cell r="U94" t="e">
            <v>#VALUE!</v>
          </cell>
          <cell r="V94">
            <v>0</v>
          </cell>
          <cell r="W94" t="e">
            <v>#N/A</v>
          </cell>
          <cell r="X94" t="e">
            <v>#N/A</v>
          </cell>
          <cell r="Y94" t="e">
            <v>#N/A</v>
          </cell>
          <cell r="Z94" t="e">
            <v>#N/A</v>
          </cell>
          <cell r="AA94" t="e">
            <v>#N/A</v>
          </cell>
          <cell r="AB94" t="e">
            <v>#N/A</v>
          </cell>
        </row>
        <row r="95">
          <cell r="A95" t="str">
            <v>MeatFreezer</v>
          </cell>
          <cell r="C95" t="e">
            <v>#N/A</v>
          </cell>
          <cell r="D95">
            <v>0</v>
          </cell>
          <cell r="E95">
            <v>0</v>
          </cell>
          <cell r="F95">
            <v>1</v>
          </cell>
          <cell r="G95">
            <v>0</v>
          </cell>
          <cell r="H95">
            <v>1</v>
          </cell>
          <cell r="I95">
            <v>0</v>
          </cell>
          <cell r="J95">
            <v>0</v>
          </cell>
          <cell r="K95">
            <v>0</v>
          </cell>
          <cell r="L95">
            <v>0</v>
          </cell>
          <cell r="M95" t="e">
            <v>#DIV/0!</v>
          </cell>
          <cell r="N95">
            <v>0</v>
          </cell>
          <cell r="O95">
            <v>0</v>
          </cell>
          <cell r="R95">
            <v>0</v>
          </cell>
          <cell r="T95">
            <v>0</v>
          </cell>
          <cell r="U95" t="e">
            <v>#VALUE!</v>
          </cell>
          <cell r="V95">
            <v>0</v>
          </cell>
          <cell r="W95" t="e">
            <v>#N/A</v>
          </cell>
          <cell r="X95" t="e">
            <v>#N/A</v>
          </cell>
          <cell r="Y95" t="e">
            <v>#N/A</v>
          </cell>
          <cell r="Z95" t="e">
            <v>#N/A</v>
          </cell>
          <cell r="AA95" t="e">
            <v>#N/A</v>
          </cell>
          <cell r="AB95" t="e">
            <v>#N/A</v>
          </cell>
        </row>
        <row r="96">
          <cell r="A96" t="str">
            <v>ProduceCooler</v>
          </cell>
          <cell r="C96" t="e">
            <v>#N/A</v>
          </cell>
          <cell r="D96">
            <v>0</v>
          </cell>
          <cell r="E96">
            <v>0</v>
          </cell>
          <cell r="F96">
            <v>1</v>
          </cell>
          <cell r="G96">
            <v>0</v>
          </cell>
          <cell r="H96">
            <v>1</v>
          </cell>
          <cell r="I96">
            <v>0</v>
          </cell>
          <cell r="J96">
            <v>0</v>
          </cell>
          <cell r="K96">
            <v>0</v>
          </cell>
          <cell r="L96">
            <v>0</v>
          </cell>
          <cell r="M96" t="e">
            <v>#DIV/0!</v>
          </cell>
          <cell r="N96">
            <v>0</v>
          </cell>
          <cell r="O96">
            <v>0</v>
          </cell>
          <cell r="R96">
            <v>0</v>
          </cell>
          <cell r="T96">
            <v>0</v>
          </cell>
          <cell r="U96" t="e">
            <v>#VALUE!</v>
          </cell>
          <cell r="V96">
            <v>0</v>
          </cell>
          <cell r="W96" t="e">
            <v>#N/A</v>
          </cell>
          <cell r="X96" t="e">
            <v>#N/A</v>
          </cell>
          <cell r="Y96" t="e">
            <v>#N/A</v>
          </cell>
          <cell r="Z96" t="e">
            <v>#N/A</v>
          </cell>
          <cell r="AA96" t="e">
            <v>#N/A</v>
          </cell>
          <cell r="AB96" t="e">
            <v>#N/A</v>
          </cell>
        </row>
        <row r="97">
          <cell r="A97" t="str">
            <v>DairyCooler</v>
          </cell>
          <cell r="C97" t="e">
            <v>#N/A</v>
          </cell>
          <cell r="D97">
            <v>0</v>
          </cell>
          <cell r="E97">
            <v>0</v>
          </cell>
          <cell r="F97">
            <v>1</v>
          </cell>
          <cell r="G97">
            <v>0</v>
          </cell>
          <cell r="H97">
            <v>1</v>
          </cell>
          <cell r="I97">
            <v>0</v>
          </cell>
          <cell r="J97">
            <v>0</v>
          </cell>
          <cell r="K97">
            <v>0</v>
          </cell>
          <cell r="L97">
            <v>0</v>
          </cell>
          <cell r="M97" t="e">
            <v>#DIV/0!</v>
          </cell>
          <cell r="N97">
            <v>0</v>
          </cell>
          <cell r="O97">
            <v>0</v>
          </cell>
          <cell r="R97">
            <v>0</v>
          </cell>
          <cell r="T97">
            <v>0</v>
          </cell>
          <cell r="U97" t="e">
            <v>#VALUE!</v>
          </cell>
          <cell r="V97">
            <v>0</v>
          </cell>
          <cell r="W97" t="e">
            <v>#N/A</v>
          </cell>
          <cell r="X97" t="e">
            <v>#N/A</v>
          </cell>
          <cell r="Y97" t="e">
            <v>#N/A</v>
          </cell>
          <cell r="Z97" t="e">
            <v>#N/A</v>
          </cell>
          <cell r="AA97" t="e">
            <v>#N/A</v>
          </cell>
          <cell r="AB97" t="e">
            <v>#N/A</v>
          </cell>
        </row>
        <row r="98">
          <cell r="A98" t="str">
            <v>MeatCooler</v>
          </cell>
          <cell r="C98" t="e">
            <v>#N/A</v>
          </cell>
          <cell r="D98">
            <v>0</v>
          </cell>
          <cell r="E98">
            <v>0</v>
          </cell>
          <cell r="F98">
            <v>1</v>
          </cell>
          <cell r="G98">
            <v>0</v>
          </cell>
          <cell r="H98">
            <v>1</v>
          </cell>
          <cell r="I98">
            <v>0</v>
          </cell>
          <cell r="J98">
            <v>0</v>
          </cell>
          <cell r="K98">
            <v>0</v>
          </cell>
          <cell r="L98">
            <v>0</v>
          </cell>
          <cell r="M98" t="e">
            <v>#DIV/0!</v>
          </cell>
          <cell r="N98">
            <v>0</v>
          </cell>
          <cell r="O98">
            <v>0</v>
          </cell>
          <cell r="R98">
            <v>0</v>
          </cell>
          <cell r="T98">
            <v>0</v>
          </cell>
          <cell r="U98" t="e">
            <v>#VALUE!</v>
          </cell>
          <cell r="V98">
            <v>0</v>
          </cell>
          <cell r="W98" t="e">
            <v>#N/A</v>
          </cell>
          <cell r="X98" t="e">
            <v>#N/A</v>
          </cell>
          <cell r="Y98" t="e">
            <v>#N/A</v>
          </cell>
          <cell r="Z98" t="e">
            <v>#N/A</v>
          </cell>
          <cell r="AA98" t="e">
            <v>#N/A</v>
          </cell>
          <cell r="AB98" t="e">
            <v>#N/A</v>
          </cell>
        </row>
        <row r="99">
          <cell r="A99" t="str">
            <v>MeatPrep</v>
          </cell>
          <cell r="C99" t="e">
            <v>#N/A</v>
          </cell>
          <cell r="D99">
            <v>0</v>
          </cell>
          <cell r="E99">
            <v>0</v>
          </cell>
          <cell r="F99">
            <v>1</v>
          </cell>
          <cell r="G99">
            <v>0</v>
          </cell>
          <cell r="H99">
            <v>1</v>
          </cell>
          <cell r="I99">
            <v>0</v>
          </cell>
          <cell r="J99">
            <v>0</v>
          </cell>
          <cell r="K99">
            <v>0</v>
          </cell>
          <cell r="L99">
            <v>0</v>
          </cell>
          <cell r="M99" t="e">
            <v>#DIV/0!</v>
          </cell>
          <cell r="N99">
            <v>0</v>
          </cell>
          <cell r="O99">
            <v>0</v>
          </cell>
          <cell r="R99">
            <v>0</v>
          </cell>
          <cell r="T99">
            <v>0</v>
          </cell>
          <cell r="U99" t="e">
            <v>#VALUE!</v>
          </cell>
          <cell r="V99">
            <v>0</v>
          </cell>
          <cell r="W99" t="e">
            <v>#N/A</v>
          </cell>
          <cell r="X99" t="e">
            <v>#N/A</v>
          </cell>
          <cell r="Y99" t="e">
            <v>#N/A</v>
          </cell>
          <cell r="Z99" t="e">
            <v>#N/A</v>
          </cell>
          <cell r="AA99" t="e">
            <v>#N/A</v>
          </cell>
          <cell r="AB99" t="e">
            <v>#NAME?</v>
          </cell>
        </row>
        <row r="100">
          <cell r="A100" t="str">
            <v>DeliCoolers</v>
          </cell>
          <cell r="C100" t="e">
            <v>#N/A</v>
          </cell>
          <cell r="D100">
            <v>0</v>
          </cell>
          <cell r="E100">
            <v>0</v>
          </cell>
          <cell r="F100">
            <v>1</v>
          </cell>
          <cell r="G100">
            <v>0</v>
          </cell>
          <cell r="H100">
            <v>1</v>
          </cell>
          <cell r="I100">
            <v>0</v>
          </cell>
          <cell r="J100">
            <v>0</v>
          </cell>
          <cell r="K100">
            <v>0</v>
          </cell>
          <cell r="L100">
            <v>0</v>
          </cell>
          <cell r="M100" t="e">
            <v>#DIV/0!</v>
          </cell>
          <cell r="N100">
            <v>0</v>
          </cell>
          <cell r="O100">
            <v>0</v>
          </cell>
          <cell r="R100">
            <v>0</v>
          </cell>
          <cell r="T100">
            <v>0</v>
          </cell>
          <cell r="U100" t="e">
            <v>#VALUE!</v>
          </cell>
          <cell r="V100">
            <v>0</v>
          </cell>
          <cell r="W100" t="e">
            <v>#N/A</v>
          </cell>
          <cell r="X100" t="e">
            <v>#N/A</v>
          </cell>
          <cell r="Y100" t="e">
            <v>#N/A</v>
          </cell>
          <cell r="Z100" t="e">
            <v>#N/A</v>
          </cell>
          <cell r="AA100" t="e">
            <v>#N/A</v>
          </cell>
          <cell r="AB100" t="e">
            <v>#N/A</v>
          </cell>
        </row>
        <row r="101">
          <cell r="A101" t="str">
            <v/>
          </cell>
          <cell r="C101" t="str">
            <v/>
          </cell>
          <cell r="D101" t="str">
            <v/>
          </cell>
          <cell r="E101" t="str">
            <v/>
          </cell>
          <cell r="F101" t="str">
            <v/>
          </cell>
          <cell r="G101" t="str">
            <v/>
          </cell>
          <cell r="H101" t="str">
            <v/>
          </cell>
          <cell r="I101" t="str">
            <v/>
          </cell>
          <cell r="J101" t="str">
            <v/>
          </cell>
          <cell r="K101" t="str">
            <v/>
          </cell>
          <cell r="L101" t="str">
            <v/>
          </cell>
          <cell r="M101" t="str">
            <v/>
          </cell>
          <cell r="N101" t="str">
            <v/>
          </cell>
          <cell r="O101" t="str">
            <v/>
          </cell>
          <cell r="R101" t="str">
            <v/>
          </cell>
          <cell r="T101" t="str">
            <v/>
          </cell>
          <cell r="U101" t="str">
            <v/>
          </cell>
          <cell r="V101" t="str">
            <v/>
          </cell>
          <cell r="W101" t="str">
            <v/>
          </cell>
          <cell r="X101" t="str">
            <v/>
          </cell>
          <cell r="Y101" t="str">
            <v/>
          </cell>
          <cell r="Z101" t="str">
            <v/>
          </cell>
          <cell r="AA101" t="str">
            <v/>
          </cell>
          <cell r="AB101" t="e">
            <v>#VALUE!</v>
          </cell>
        </row>
        <row r="102">
          <cell r="A102" t="str">
            <v/>
          </cell>
          <cell r="C102" t="str">
            <v/>
          </cell>
          <cell r="D102" t="str">
            <v/>
          </cell>
          <cell r="E102" t="str">
            <v/>
          </cell>
          <cell r="F102" t="str">
            <v/>
          </cell>
          <cell r="G102" t="str">
            <v/>
          </cell>
          <cell r="H102" t="str">
            <v/>
          </cell>
          <cell r="I102" t="str">
            <v/>
          </cell>
          <cell r="J102" t="str">
            <v/>
          </cell>
          <cell r="K102" t="str">
            <v/>
          </cell>
          <cell r="L102" t="str">
            <v/>
          </cell>
          <cell r="M102" t="str">
            <v/>
          </cell>
          <cell r="N102" t="str">
            <v/>
          </cell>
          <cell r="O102" t="str">
            <v/>
          </cell>
          <cell r="R102" t="str">
            <v/>
          </cell>
          <cell r="T102" t="str">
            <v/>
          </cell>
          <cell r="U102" t="str">
            <v/>
          </cell>
          <cell r="V102" t="str">
            <v/>
          </cell>
          <cell r="W102" t="str">
            <v/>
          </cell>
          <cell r="X102" t="str">
            <v/>
          </cell>
          <cell r="Y102" t="str">
            <v/>
          </cell>
          <cell r="Z102" t="str">
            <v/>
          </cell>
          <cell r="AA102" t="str">
            <v/>
          </cell>
          <cell r="AB102" t="e">
            <v>#VALUE!</v>
          </cell>
        </row>
        <row r="103">
          <cell r="A103" t="str">
            <v/>
          </cell>
          <cell r="C103" t="str">
            <v/>
          </cell>
          <cell r="D103" t="str">
            <v/>
          </cell>
          <cell r="E103" t="str">
            <v/>
          </cell>
          <cell r="F103" t="str">
            <v/>
          </cell>
          <cell r="G103" t="str">
            <v/>
          </cell>
          <cell r="H103" t="str">
            <v/>
          </cell>
          <cell r="I103" t="str">
            <v/>
          </cell>
          <cell r="J103" t="str">
            <v/>
          </cell>
          <cell r="K103" t="str">
            <v/>
          </cell>
          <cell r="L103" t="str">
            <v/>
          </cell>
          <cell r="M103" t="str">
            <v/>
          </cell>
          <cell r="N103" t="str">
            <v/>
          </cell>
          <cell r="O103" t="str">
            <v/>
          </cell>
          <cell r="R103" t="str">
            <v/>
          </cell>
          <cell r="T103" t="str">
            <v/>
          </cell>
          <cell r="U103" t="str">
            <v/>
          </cell>
          <cell r="V103" t="str">
            <v/>
          </cell>
          <cell r="W103" t="str">
            <v/>
          </cell>
          <cell r="X103" t="str">
            <v/>
          </cell>
          <cell r="Y103" t="str">
            <v/>
          </cell>
          <cell r="Z103" t="str">
            <v/>
          </cell>
          <cell r="AA103" t="str">
            <v/>
          </cell>
          <cell r="AB103" t="e">
            <v>#VALUE!</v>
          </cell>
        </row>
        <row r="104">
          <cell r="A104" t="str">
            <v/>
          </cell>
          <cell r="C104" t="str">
            <v/>
          </cell>
          <cell r="D104" t="str">
            <v/>
          </cell>
          <cell r="E104" t="str">
            <v/>
          </cell>
          <cell r="F104" t="str">
            <v/>
          </cell>
          <cell r="G104" t="str">
            <v/>
          </cell>
          <cell r="H104" t="str">
            <v/>
          </cell>
          <cell r="I104" t="str">
            <v/>
          </cell>
          <cell r="J104" t="str">
            <v/>
          </cell>
          <cell r="K104" t="str">
            <v/>
          </cell>
          <cell r="L104" t="str">
            <v/>
          </cell>
          <cell r="M104" t="str">
            <v/>
          </cell>
          <cell r="N104" t="str">
            <v/>
          </cell>
          <cell r="O104" t="str">
            <v/>
          </cell>
          <cell r="R104" t="str">
            <v/>
          </cell>
          <cell r="T104" t="str">
            <v/>
          </cell>
          <cell r="U104" t="str">
            <v/>
          </cell>
          <cell r="V104" t="str">
            <v/>
          </cell>
          <cell r="W104" t="str">
            <v/>
          </cell>
          <cell r="X104" t="str">
            <v/>
          </cell>
          <cell r="Y104" t="str">
            <v/>
          </cell>
          <cell r="Z104" t="str">
            <v/>
          </cell>
          <cell r="AA104" t="str">
            <v/>
          </cell>
          <cell r="AB104" t="e">
            <v>#VALUE!</v>
          </cell>
        </row>
        <row r="166">
          <cell r="N166" t="e">
            <v>#N/A</v>
          </cell>
          <cell r="Q166" t="e">
            <v>#N/A</v>
          </cell>
        </row>
        <row r="167">
          <cell r="N167" t="e">
            <v>#N/A</v>
          </cell>
          <cell r="Q167" t="e">
            <v>#N/A</v>
          </cell>
        </row>
        <row r="168">
          <cell r="N168" t="e">
            <v>#N/A</v>
          </cell>
          <cell r="Q168" t="e">
            <v>#N/A</v>
          </cell>
        </row>
        <row r="169">
          <cell r="N169" t="e">
            <v>#N/A</v>
          </cell>
          <cell r="Q169" t="e">
            <v>#N/A</v>
          </cell>
        </row>
        <row r="170">
          <cell r="N170" t="e">
            <v>#N/A</v>
          </cell>
          <cell r="Q170" t="e">
            <v>#N/A</v>
          </cell>
        </row>
        <row r="171">
          <cell r="N171" t="e">
            <v>#N/A</v>
          </cell>
          <cell r="Q171" t="e">
            <v>#N/A</v>
          </cell>
        </row>
        <row r="172">
          <cell r="N172" t="e">
            <v>#N/A</v>
          </cell>
          <cell r="Q172" t="e">
            <v>#N/A</v>
          </cell>
        </row>
        <row r="173">
          <cell r="N173" t="e">
            <v>#N/A</v>
          </cell>
          <cell r="Q173" t="e">
            <v>#N/A</v>
          </cell>
        </row>
        <row r="174">
          <cell r="N174" t="e">
            <v>#N/A</v>
          </cell>
          <cell r="Q174" t="e">
            <v>#N/A</v>
          </cell>
        </row>
        <row r="175">
          <cell r="N175" t="e">
            <v>#N/A</v>
          </cell>
          <cell r="Q175" t="e">
            <v>#N/A</v>
          </cell>
        </row>
        <row r="176">
          <cell r="N176" t="e">
            <v>#N/A</v>
          </cell>
          <cell r="Q176" t="e">
            <v>#N/A</v>
          </cell>
        </row>
        <row r="177">
          <cell r="N177" t="e">
            <v>#N/A</v>
          </cell>
          <cell r="Q177" t="e">
            <v>#N/A</v>
          </cell>
        </row>
        <row r="178">
          <cell r="N178" t="e">
            <v>#N/A</v>
          </cell>
          <cell r="Q178" t="e">
            <v>#N/A</v>
          </cell>
        </row>
        <row r="179">
          <cell r="N179" t="e">
            <v>#N/A</v>
          </cell>
          <cell r="Q179" t="e">
            <v>#N/A</v>
          </cell>
        </row>
        <row r="180">
          <cell r="N180" t="e">
            <v>#N/A</v>
          </cell>
          <cell r="Q180" t="e">
            <v>#N/A</v>
          </cell>
        </row>
        <row r="181">
          <cell r="N181" t="e">
            <v>#N/A</v>
          </cell>
          <cell r="Q181" t="e">
            <v>#N/A</v>
          </cell>
        </row>
        <row r="182">
          <cell r="N182" t="e">
            <v>#N/A</v>
          </cell>
          <cell r="Q182" t="e">
            <v>#N/A</v>
          </cell>
        </row>
        <row r="183">
          <cell r="N183" t="e">
            <v>#N/A</v>
          </cell>
          <cell r="Q183" t="e">
            <v>#N/A</v>
          </cell>
        </row>
        <row r="184">
          <cell r="N184" t="e">
            <v>#N/A</v>
          </cell>
          <cell r="Q184" t="e">
            <v>#N/A</v>
          </cell>
        </row>
        <row r="185">
          <cell r="N185" t="e">
            <v>#N/A</v>
          </cell>
          <cell r="Q185" t="e">
            <v>#N/A</v>
          </cell>
        </row>
        <row r="186">
          <cell r="N186" t="e">
            <v>#N/A</v>
          </cell>
          <cell r="Q186" t="e">
            <v>#N/A</v>
          </cell>
        </row>
        <row r="187">
          <cell r="N187" t="e">
            <v>#N/A</v>
          </cell>
          <cell r="Q187" t="e">
            <v>#N/A</v>
          </cell>
        </row>
        <row r="188">
          <cell r="N188" t="e">
            <v>#N/A</v>
          </cell>
          <cell r="Q188" t="e">
            <v>#N/A</v>
          </cell>
        </row>
        <row r="189">
          <cell r="N189" t="e">
            <v>#N/A</v>
          </cell>
          <cell r="Q189" t="e">
            <v>#N/A</v>
          </cell>
        </row>
        <row r="196">
          <cell r="J196" t="str">
            <v>E+ Watts</v>
          </cell>
          <cell r="K196" t="str">
            <v>% diff.</v>
          </cell>
        </row>
        <row r="353">
          <cell r="A353" t="str">
            <v>A11</v>
          </cell>
          <cell r="C353" t="str">
            <v>FRESH MEATS</v>
          </cell>
          <cell r="D353">
            <v>12</v>
          </cell>
          <cell r="E353" t="str">
            <v>OpenMultiDk</v>
          </cell>
          <cell r="F353" t="str">
            <v>A1-Base</v>
          </cell>
          <cell r="G353" t="str">
            <v>C2X-XLE</v>
          </cell>
          <cell r="H353">
            <v>9.6700499999999998</v>
          </cell>
          <cell r="I353">
            <v>1.4449500000000002</v>
          </cell>
          <cell r="J353">
            <v>21</v>
          </cell>
          <cell r="K353">
            <v>14.82</v>
          </cell>
          <cell r="L353">
            <v>1.2350000000000001</v>
          </cell>
          <cell r="M353">
            <v>425</v>
          </cell>
          <cell r="N353">
            <v>117</v>
          </cell>
          <cell r="O353">
            <v>0</v>
          </cell>
          <cell r="P353">
            <v>0</v>
          </cell>
          <cell r="Q353" t="str">
            <v>A07</v>
          </cell>
          <cell r="S353" t="str">
            <v>DAIRY COOLER</v>
          </cell>
          <cell r="T353" t="str">
            <v>18X28X10</v>
          </cell>
          <cell r="U353" t="str">
            <v>DoorCooler</v>
          </cell>
          <cell r="V353" t="str">
            <v>A1-Prop</v>
          </cell>
          <cell r="W353" t="str">
            <v>(2) KR36A-159</v>
          </cell>
          <cell r="X353">
            <v>0</v>
          </cell>
          <cell r="Y353">
            <v>0</v>
          </cell>
          <cell r="Z353">
            <v>25</v>
          </cell>
          <cell r="AA353">
            <v>28.3</v>
          </cell>
          <cell r="AB353" t="str">
            <v/>
          </cell>
          <cell r="AC353">
            <v>0</v>
          </cell>
          <cell r="AD353">
            <v>210</v>
          </cell>
          <cell r="AE353">
            <v>0</v>
          </cell>
          <cell r="AF353">
            <v>0</v>
          </cell>
        </row>
        <row r="354">
          <cell r="A354" t="str">
            <v>B01</v>
          </cell>
          <cell r="C354" t="str">
            <v>Encl. coolers</v>
          </cell>
          <cell r="D354">
            <v>36</v>
          </cell>
          <cell r="E354" t="str">
            <v>DoorMultiDk</v>
          </cell>
          <cell r="F354" t="str">
            <v>B1-Base</v>
          </cell>
          <cell r="G354" t="str">
            <v>RLT Inno  I</v>
          </cell>
          <cell r="H354">
            <v>0</v>
          </cell>
          <cell r="I354">
            <v>0</v>
          </cell>
          <cell r="J354">
            <v>-20</v>
          </cell>
          <cell r="K354">
            <v>21.5</v>
          </cell>
          <cell r="L354">
            <v>0.59722222222222221</v>
          </cell>
          <cell r="M354">
            <v>1080</v>
          </cell>
          <cell r="N354">
            <v>939</v>
          </cell>
          <cell r="O354">
            <v>2079</v>
          </cell>
          <cell r="P354">
            <v>12900</v>
          </cell>
          <cell r="Q354" t="str">
            <v>B01</v>
          </cell>
          <cell r="S354" t="str">
            <v>Encl. coolers</v>
          </cell>
          <cell r="T354">
            <v>36</v>
          </cell>
          <cell r="U354" t="str">
            <v>DoorMultiDk</v>
          </cell>
          <cell r="V354" t="str">
            <v>B1-Prop</v>
          </cell>
          <cell r="W354" t="str">
            <v>RLT Inno  I</v>
          </cell>
          <cell r="X354">
            <v>0</v>
          </cell>
          <cell r="Y354">
            <v>0</v>
          </cell>
          <cell r="Z354">
            <v>-20</v>
          </cell>
          <cell r="AA354">
            <v>20.3</v>
          </cell>
          <cell r="AB354">
            <v>0.56388888888888888</v>
          </cell>
          <cell r="AC354">
            <v>270</v>
          </cell>
          <cell r="AD354">
            <v>939</v>
          </cell>
          <cell r="AE354">
            <v>2079</v>
          </cell>
          <cell r="AF354">
            <v>12900</v>
          </cell>
        </row>
        <row r="355">
          <cell r="A355" t="str">
            <v>B02</v>
          </cell>
          <cell r="C355" t="str">
            <v>Encl. coolers</v>
          </cell>
          <cell r="D355">
            <v>27</v>
          </cell>
          <cell r="E355" t="str">
            <v>DoorMultiDk</v>
          </cell>
          <cell r="F355" t="str">
            <v>B1-Base</v>
          </cell>
          <cell r="G355" t="str">
            <v>RLT Inno  I</v>
          </cell>
          <cell r="H355">
            <v>0</v>
          </cell>
          <cell r="I355">
            <v>0</v>
          </cell>
          <cell r="J355">
            <v>-20</v>
          </cell>
          <cell r="K355">
            <v>12.9</v>
          </cell>
          <cell r="L355">
            <v>0.4777777777777778</v>
          </cell>
          <cell r="M355">
            <v>840</v>
          </cell>
          <cell r="N355">
            <v>688</v>
          </cell>
          <cell r="O355">
            <v>1524</v>
          </cell>
          <cell r="P355">
            <v>9460</v>
          </cell>
          <cell r="Q355" t="str">
            <v>B02</v>
          </cell>
          <cell r="S355" t="str">
            <v>Encl. coolers</v>
          </cell>
          <cell r="T355">
            <v>27</v>
          </cell>
          <cell r="U355" t="str">
            <v>DoorMultiDk</v>
          </cell>
          <cell r="V355" t="str">
            <v>B1-Prop</v>
          </cell>
          <cell r="W355" t="str">
            <v>RLT Inno  I</v>
          </cell>
          <cell r="X355">
            <v>0</v>
          </cell>
          <cell r="Y355">
            <v>0</v>
          </cell>
          <cell r="Z355">
            <v>-20</v>
          </cell>
          <cell r="AA355">
            <v>12.1</v>
          </cell>
          <cell r="AB355">
            <v>0.44814814814814813</v>
          </cell>
          <cell r="AC355">
            <v>198</v>
          </cell>
          <cell r="AD355">
            <v>688</v>
          </cell>
          <cell r="AE355">
            <v>1524</v>
          </cell>
          <cell r="AF355">
            <v>9460</v>
          </cell>
        </row>
        <row r="356">
          <cell r="A356" t="str">
            <v>B03</v>
          </cell>
          <cell r="C356" t="str">
            <v>Encl. coolers</v>
          </cell>
          <cell r="D356">
            <v>72</v>
          </cell>
          <cell r="E356" t="str">
            <v>DoorMultiDk</v>
          </cell>
          <cell r="F356" t="str">
            <v>B1-Base</v>
          </cell>
          <cell r="G356" t="str">
            <v>RLTI Inno  I</v>
          </cell>
          <cell r="H356">
            <v>0</v>
          </cell>
          <cell r="I356">
            <v>0</v>
          </cell>
          <cell r="J356">
            <v>-20</v>
          </cell>
          <cell r="K356">
            <v>38.9</v>
          </cell>
          <cell r="L356">
            <v>0.54027777777777775</v>
          </cell>
          <cell r="M356">
            <v>2160</v>
          </cell>
          <cell r="N356">
            <v>1878</v>
          </cell>
          <cell r="O356">
            <v>4158</v>
          </cell>
          <cell r="P356">
            <v>25800</v>
          </cell>
          <cell r="Q356" t="str">
            <v>B03</v>
          </cell>
          <cell r="S356" t="str">
            <v>Encl. coolers</v>
          </cell>
          <cell r="T356">
            <v>72</v>
          </cell>
          <cell r="U356" t="str">
            <v>DoorMultiDk</v>
          </cell>
          <cell r="V356" t="str">
            <v>B1-Prop</v>
          </cell>
          <cell r="W356" t="str">
            <v>RLTI Inno  I</v>
          </cell>
          <cell r="X356">
            <v>0</v>
          </cell>
          <cell r="Y356">
            <v>0</v>
          </cell>
          <cell r="Z356">
            <v>-20</v>
          </cell>
          <cell r="AA356">
            <v>36.700000000000003</v>
          </cell>
          <cell r="AB356">
            <v>0.5097222222222223</v>
          </cell>
          <cell r="AC356">
            <v>540</v>
          </cell>
          <cell r="AD356">
            <v>1878</v>
          </cell>
          <cell r="AE356">
            <v>4158</v>
          </cell>
          <cell r="AF356">
            <v>25800</v>
          </cell>
          <cell r="AG356" t="str">
            <v>North Zone
Doors: 5,5,5</v>
          </cell>
        </row>
        <row r="357">
          <cell r="A357" t="str">
            <v>B04</v>
          </cell>
          <cell r="C357" t="str">
            <v>Encl. coolers</v>
          </cell>
          <cell r="D357">
            <v>44</v>
          </cell>
          <cell r="E357" t="str">
            <v>DoorMultiDk</v>
          </cell>
          <cell r="F357" t="str">
            <v>B1-Base</v>
          </cell>
          <cell r="G357" t="str">
            <v>RLTI Inno  I</v>
          </cell>
          <cell r="H357">
            <v>0</v>
          </cell>
          <cell r="I357">
            <v>0</v>
          </cell>
          <cell r="J357">
            <v>-20</v>
          </cell>
          <cell r="K357">
            <v>23.4</v>
          </cell>
          <cell r="L357">
            <v>0.53181818181818175</v>
          </cell>
          <cell r="M357">
            <v>1320</v>
          </cell>
          <cell r="N357">
            <v>1126</v>
          </cell>
          <cell r="O357">
            <v>2494</v>
          </cell>
          <cell r="P357">
            <v>15480</v>
          </cell>
          <cell r="Q357" t="str">
            <v>B04</v>
          </cell>
          <cell r="S357" t="str">
            <v>Encl. coolers</v>
          </cell>
          <cell r="T357">
            <v>44</v>
          </cell>
          <cell r="U357" t="str">
            <v>DoorMultiDk</v>
          </cell>
          <cell r="V357" t="str">
            <v>B1-Prop</v>
          </cell>
          <cell r="W357" t="str">
            <v>RLTI Inno  I</v>
          </cell>
          <cell r="X357">
            <v>0</v>
          </cell>
          <cell r="Y357">
            <v>0</v>
          </cell>
          <cell r="Z357">
            <v>-20</v>
          </cell>
          <cell r="AA357">
            <v>22</v>
          </cell>
          <cell r="AB357">
            <v>0.5</v>
          </cell>
          <cell r="AC357">
            <v>324</v>
          </cell>
          <cell r="AD357">
            <v>1126</v>
          </cell>
          <cell r="AE357">
            <v>2494</v>
          </cell>
          <cell r="AF357">
            <v>15480</v>
          </cell>
          <cell r="AG357" t="str">
            <v>North Zone
Doors: 5,4,2</v>
          </cell>
        </row>
        <row r="358">
          <cell r="A358" t="str">
            <v>B05</v>
          </cell>
          <cell r="C358" t="str">
            <v>Encl. coolers</v>
          </cell>
          <cell r="D358">
            <v>5</v>
          </cell>
          <cell r="E358" t="str">
            <v>DoorMultiDk</v>
          </cell>
          <cell r="F358" t="str">
            <v>B1-Base</v>
          </cell>
          <cell r="G358" t="str">
            <v>RLT Inno  I</v>
          </cell>
          <cell r="H358">
            <v>0</v>
          </cell>
          <cell r="I358">
            <v>0</v>
          </cell>
          <cell r="J358">
            <v>-20</v>
          </cell>
          <cell r="K358">
            <v>2.9</v>
          </cell>
          <cell r="L358">
            <v>0.57999999999999996</v>
          </cell>
          <cell r="M358">
            <v>180</v>
          </cell>
          <cell r="N358">
            <v>125</v>
          </cell>
          <cell r="O358">
            <v>277</v>
          </cell>
          <cell r="P358">
            <v>1720</v>
          </cell>
          <cell r="Q358" t="str">
            <v>B05</v>
          </cell>
          <cell r="S358" t="str">
            <v>Encl. coolers</v>
          </cell>
          <cell r="T358">
            <v>5</v>
          </cell>
          <cell r="U358" t="str">
            <v>DoorMultiDk</v>
          </cell>
          <cell r="V358" t="str">
            <v>B1-Prop</v>
          </cell>
          <cell r="W358" t="str">
            <v>RLT Inno  I</v>
          </cell>
          <cell r="X358">
            <v>0</v>
          </cell>
          <cell r="Y358">
            <v>0</v>
          </cell>
          <cell r="Z358">
            <v>-20</v>
          </cell>
          <cell r="AA358">
            <v>2.7</v>
          </cell>
          <cell r="AB358">
            <v>0.54</v>
          </cell>
          <cell r="AC358">
            <v>36</v>
          </cell>
          <cell r="AD358">
            <v>125</v>
          </cell>
          <cell r="AE358">
            <v>277</v>
          </cell>
          <cell r="AF358">
            <v>1720</v>
          </cell>
          <cell r="AG358" t="str">
            <v>Doors: 6X5</v>
          </cell>
        </row>
        <row r="359">
          <cell r="A359" t="str">
            <v>B06</v>
          </cell>
          <cell r="C359" t="str">
            <v>Encl. coolers</v>
          </cell>
          <cell r="D359">
            <v>5</v>
          </cell>
          <cell r="E359" t="str">
            <v>DoorMultiDk</v>
          </cell>
          <cell r="F359" t="str">
            <v>B1-Base</v>
          </cell>
          <cell r="G359" t="str">
            <v>RLT Inno  I</v>
          </cell>
          <cell r="H359">
            <v>0</v>
          </cell>
          <cell r="I359">
            <v>0</v>
          </cell>
          <cell r="J359">
            <v>-20</v>
          </cell>
          <cell r="K359">
            <v>2.9</v>
          </cell>
          <cell r="L359">
            <v>0.57999999999999996</v>
          </cell>
          <cell r="M359">
            <v>180</v>
          </cell>
          <cell r="N359">
            <v>125</v>
          </cell>
          <cell r="O359">
            <v>277</v>
          </cell>
          <cell r="P359">
            <v>1720</v>
          </cell>
          <cell r="Q359" t="str">
            <v>B06</v>
          </cell>
          <cell r="S359" t="str">
            <v>Encl. coolers</v>
          </cell>
          <cell r="T359">
            <v>5</v>
          </cell>
          <cell r="U359" t="str">
            <v>DoorMultiDk</v>
          </cell>
          <cell r="V359" t="str">
            <v>B1-Prop</v>
          </cell>
          <cell r="W359" t="str">
            <v>RLT Inno  I</v>
          </cell>
          <cell r="X359">
            <v>0</v>
          </cell>
          <cell r="Y359">
            <v>0</v>
          </cell>
          <cell r="Z359">
            <v>-20</v>
          </cell>
          <cell r="AA359">
            <v>2.7</v>
          </cell>
          <cell r="AB359">
            <v>0.54</v>
          </cell>
          <cell r="AC359">
            <v>36</v>
          </cell>
          <cell r="AD359">
            <v>125</v>
          </cell>
          <cell r="AE359">
            <v>277</v>
          </cell>
          <cell r="AF359">
            <v>1720</v>
          </cell>
          <cell r="AG359" t="str">
            <v>Doors: 5,4,5,4</v>
          </cell>
        </row>
        <row r="360">
          <cell r="A360" t="str">
            <v>B07</v>
          </cell>
          <cell r="C360" t="str">
            <v>Encl. coolers</v>
          </cell>
          <cell r="D360">
            <v>24</v>
          </cell>
          <cell r="E360" t="str">
            <v>DoorMultiDk</v>
          </cell>
          <cell r="F360" t="str">
            <v>B1-Base</v>
          </cell>
          <cell r="G360" t="str">
            <v>RLT Inno  I</v>
          </cell>
          <cell r="H360">
            <v>0</v>
          </cell>
          <cell r="I360">
            <v>0</v>
          </cell>
          <cell r="J360">
            <v>-20</v>
          </cell>
          <cell r="K360">
            <v>14.3</v>
          </cell>
          <cell r="L360">
            <v>0.59583333333333333</v>
          </cell>
          <cell r="M360">
            <v>720</v>
          </cell>
          <cell r="N360">
            <v>626</v>
          </cell>
          <cell r="O360">
            <v>1386</v>
          </cell>
          <cell r="P360">
            <v>8600</v>
          </cell>
          <cell r="Q360" t="str">
            <v>B07</v>
          </cell>
          <cell r="S360" t="str">
            <v>Encl. coolers</v>
          </cell>
          <cell r="T360">
            <v>24</v>
          </cell>
          <cell r="U360" t="str">
            <v>DoorMultiDk</v>
          </cell>
          <cell r="V360" t="str">
            <v>B1-Prop</v>
          </cell>
          <cell r="W360" t="str">
            <v>RLT Inno  I</v>
          </cell>
          <cell r="X360">
            <v>0</v>
          </cell>
          <cell r="Y360">
            <v>0</v>
          </cell>
          <cell r="Z360">
            <v>-20</v>
          </cell>
          <cell r="AA360">
            <v>13.6</v>
          </cell>
          <cell r="AB360">
            <v>0.56666666666666665</v>
          </cell>
          <cell r="AC360">
            <v>180</v>
          </cell>
          <cell r="AD360">
            <v>626</v>
          </cell>
          <cell r="AE360">
            <v>1386</v>
          </cell>
          <cell r="AF360">
            <v>8600</v>
          </cell>
          <cell r="AG360" t="str">
            <v>Doors: 2</v>
          </cell>
        </row>
        <row r="361">
          <cell r="A361" t="str">
            <v>B08</v>
          </cell>
          <cell r="C361" t="str">
            <v>Encl. coolers</v>
          </cell>
          <cell r="D361">
            <v>32</v>
          </cell>
          <cell r="E361" t="str">
            <v>DoorMultiDk</v>
          </cell>
          <cell r="F361" t="str">
            <v>B1-Base</v>
          </cell>
          <cell r="G361" t="str">
            <v>RLT Inno  I</v>
          </cell>
          <cell r="H361">
            <v>0</v>
          </cell>
          <cell r="I361">
            <v>0</v>
          </cell>
          <cell r="J361">
            <v>-20</v>
          </cell>
          <cell r="K361">
            <v>18.600000000000001</v>
          </cell>
          <cell r="L361">
            <v>0.58125000000000004</v>
          </cell>
          <cell r="M361">
            <v>960</v>
          </cell>
          <cell r="N361">
            <v>813</v>
          </cell>
          <cell r="O361">
            <v>1801</v>
          </cell>
          <cell r="P361">
            <v>11180</v>
          </cell>
          <cell r="Q361" t="str">
            <v>B08</v>
          </cell>
          <cell r="S361" t="str">
            <v>Encl. coolers</v>
          </cell>
          <cell r="T361">
            <v>32</v>
          </cell>
          <cell r="U361" t="str">
            <v>DoorMultiDk</v>
          </cell>
          <cell r="V361" t="str">
            <v>B1-Prop</v>
          </cell>
          <cell r="W361" t="str">
            <v>RLT Inno  I</v>
          </cell>
          <cell r="X361">
            <v>0</v>
          </cell>
          <cell r="Y361">
            <v>0</v>
          </cell>
          <cell r="Z361">
            <v>-20</v>
          </cell>
          <cell r="AA361">
            <v>17.600000000000001</v>
          </cell>
          <cell r="AB361">
            <v>0.55000000000000004</v>
          </cell>
          <cell r="AC361">
            <v>234</v>
          </cell>
          <cell r="AD361">
            <v>813</v>
          </cell>
          <cell r="AE361">
            <v>1801</v>
          </cell>
          <cell r="AF361">
            <v>11180</v>
          </cell>
          <cell r="AG361" t="str">
            <v>Doors: 2</v>
          </cell>
        </row>
        <row r="362">
          <cell r="A362" t="str">
            <v>B09</v>
          </cell>
          <cell r="C362" t="str">
            <v>Encl. coolers</v>
          </cell>
          <cell r="D362">
            <v>5</v>
          </cell>
          <cell r="E362" t="str">
            <v>DoorMultiDk</v>
          </cell>
          <cell r="F362" t="str">
            <v>B1-Base</v>
          </cell>
          <cell r="G362" t="str">
            <v>RLT Inno  I</v>
          </cell>
          <cell r="H362">
            <v>0</v>
          </cell>
          <cell r="I362">
            <v>0</v>
          </cell>
          <cell r="J362">
            <v>-20</v>
          </cell>
          <cell r="K362">
            <v>2.9</v>
          </cell>
          <cell r="L362">
            <v>0.57999999999999996</v>
          </cell>
          <cell r="M362">
            <v>180</v>
          </cell>
          <cell r="N362">
            <v>125</v>
          </cell>
          <cell r="O362">
            <v>277</v>
          </cell>
          <cell r="P362">
            <v>1720</v>
          </cell>
          <cell r="Q362" t="str">
            <v>B09</v>
          </cell>
          <cell r="S362" t="str">
            <v>Encl. coolers</v>
          </cell>
          <cell r="T362">
            <v>5</v>
          </cell>
          <cell r="U362" t="str">
            <v>DoorMultiDk</v>
          </cell>
          <cell r="V362" t="str">
            <v>B1-Prop</v>
          </cell>
          <cell r="W362" t="str">
            <v>RLT Inno  I</v>
          </cell>
          <cell r="X362">
            <v>0</v>
          </cell>
          <cell r="Y362">
            <v>0</v>
          </cell>
          <cell r="Z362">
            <v>-20</v>
          </cell>
          <cell r="AA362">
            <v>2.7</v>
          </cell>
          <cell r="AB362">
            <v>0.54</v>
          </cell>
          <cell r="AC362">
            <v>36</v>
          </cell>
          <cell r="AD362">
            <v>125</v>
          </cell>
          <cell r="AE362">
            <v>277</v>
          </cell>
          <cell r="AF362">
            <v>1720</v>
          </cell>
          <cell r="AG362" t="str">
            <v>Doors: 5,5</v>
          </cell>
        </row>
        <row r="363">
          <cell r="A363" t="str">
            <v>B10</v>
          </cell>
          <cell r="C363" t="str">
            <v>betw Dairy &amp; lunch meat</v>
          </cell>
          <cell r="D363">
            <v>20</v>
          </cell>
          <cell r="E363" t="str">
            <v>DoorMultiDk</v>
          </cell>
          <cell r="F363" t="str">
            <v>B1-Base</v>
          </cell>
          <cell r="G363" t="str">
            <v>RLT Inno  I</v>
          </cell>
          <cell r="H363">
            <v>0</v>
          </cell>
          <cell r="I363">
            <v>0</v>
          </cell>
          <cell r="J363">
            <v>-20</v>
          </cell>
          <cell r="K363">
            <v>11.4</v>
          </cell>
          <cell r="L363">
            <v>0.57000000000000006</v>
          </cell>
          <cell r="M363">
            <v>600</v>
          </cell>
          <cell r="N363">
            <v>500</v>
          </cell>
          <cell r="O363">
            <v>1108</v>
          </cell>
          <cell r="P363">
            <v>6880</v>
          </cell>
          <cell r="Q363" t="str">
            <v>B10</v>
          </cell>
          <cell r="S363" t="str">
            <v>betw Dairy &amp; lunch meat</v>
          </cell>
          <cell r="T363">
            <v>20</v>
          </cell>
          <cell r="U363" t="str">
            <v>DoorMultiDk</v>
          </cell>
          <cell r="V363" t="str">
            <v>B1-Prop</v>
          </cell>
          <cell r="W363" t="str">
            <v>RLT Inno  I</v>
          </cell>
          <cell r="X363">
            <v>0</v>
          </cell>
          <cell r="Y363">
            <v>0</v>
          </cell>
          <cell r="Z363">
            <v>-20</v>
          </cell>
          <cell r="AA363">
            <v>10.8</v>
          </cell>
          <cell r="AB363">
            <v>0.54</v>
          </cell>
          <cell r="AC363">
            <v>144</v>
          </cell>
          <cell r="AD363">
            <v>500</v>
          </cell>
          <cell r="AE363">
            <v>1108</v>
          </cell>
          <cell r="AF363">
            <v>6880</v>
          </cell>
          <cell r="AG363" t="str">
            <v>Doors: 5,4,4</v>
          </cell>
        </row>
        <row r="364">
          <cell r="A364" t="str">
            <v>B11</v>
          </cell>
          <cell r="C364" t="str">
            <v>DAIRY PROMO</v>
          </cell>
          <cell r="D364">
            <v>12</v>
          </cell>
          <cell r="E364" t="str">
            <v>OpenSglDeck</v>
          </cell>
          <cell r="F364" t="str">
            <v>B1-Base</v>
          </cell>
          <cell r="G364" t="str">
            <v>FIG</v>
          </cell>
          <cell r="H364">
            <v>4.1107499999999995</v>
          </cell>
          <cell r="I364">
            <v>0.61424999999999996</v>
          </cell>
          <cell r="J364">
            <v>-20</v>
          </cell>
          <cell r="K364">
            <v>6.3</v>
          </cell>
          <cell r="L364">
            <v>0.52500000000000002</v>
          </cell>
          <cell r="M364">
            <v>0</v>
          </cell>
          <cell r="N364">
            <v>72</v>
          </cell>
          <cell r="O364">
            <v>248</v>
          </cell>
          <cell r="P364">
            <v>2900</v>
          </cell>
          <cell r="Q364" t="str">
            <v>B11</v>
          </cell>
          <cell r="S364" t="str">
            <v>DAIRY PROMO</v>
          </cell>
          <cell r="T364">
            <v>12</v>
          </cell>
          <cell r="U364" t="str">
            <v>OpenSglDeck</v>
          </cell>
          <cell r="V364" t="str">
            <v>B1-Prop</v>
          </cell>
          <cell r="W364" t="str">
            <v>FIG</v>
          </cell>
          <cell r="X364">
            <v>4.1107499999999995</v>
          </cell>
          <cell r="Y364">
            <v>0.61424999999999996</v>
          </cell>
          <cell r="Z364">
            <v>-20</v>
          </cell>
          <cell r="AA364">
            <v>6.3</v>
          </cell>
          <cell r="AB364">
            <v>0.52500000000000002</v>
          </cell>
          <cell r="AC364">
            <v>0</v>
          </cell>
          <cell r="AD364">
            <v>24</v>
          </cell>
          <cell r="AE364">
            <v>248</v>
          </cell>
          <cell r="AF364">
            <v>2900</v>
          </cell>
          <cell r="AG364" t="str">
            <v>Doors: 2</v>
          </cell>
          <cell r="AJ364" t="str">
            <v>RackName</v>
          </cell>
          <cell r="AK364" t="str">
            <v>Style</v>
          </cell>
          <cell r="AL364" t="str">
            <v>RackName</v>
          </cell>
          <cell r="AM364" t="str">
            <v>Style</v>
          </cell>
          <cell r="AN364" t="str">
            <v>RackName</v>
          </cell>
          <cell r="AO364" t="str">
            <v>Style</v>
          </cell>
          <cell r="AP364" t="str">
            <v>RackName</v>
          </cell>
          <cell r="AQ364" t="str">
            <v>Style</v>
          </cell>
          <cell r="AR364" t="str">
            <v>RackName</v>
          </cell>
          <cell r="AS364" t="str">
            <v>Style</v>
          </cell>
          <cell r="AT364" t="str">
            <v>RackName</v>
          </cell>
          <cell r="AU364" t="str">
            <v>Style</v>
          </cell>
          <cell r="AV364" t="str">
            <v>RackName</v>
          </cell>
          <cell r="AW364" t="str">
            <v>Style</v>
          </cell>
          <cell r="AX364" t="str">
            <v>RackName</v>
          </cell>
          <cell r="AY364" t="str">
            <v>Style</v>
          </cell>
          <cell r="AZ364" t="str">
            <v>RackName</v>
          </cell>
          <cell r="BA364" t="str">
            <v>Style</v>
          </cell>
          <cell r="BB364" t="str">
            <v>RackName</v>
          </cell>
          <cell r="BC364" t="str">
            <v>Style</v>
          </cell>
          <cell r="BD364" t="str">
            <v>RackName</v>
          </cell>
          <cell r="BE364" t="str">
            <v>Style</v>
          </cell>
          <cell r="BF364" t="str">
            <v>RackName</v>
          </cell>
          <cell r="BG364" t="str">
            <v>Style</v>
          </cell>
          <cell r="BH364" t="str">
            <v>RackName</v>
          </cell>
          <cell r="BI364" t="str">
            <v>Style</v>
          </cell>
          <cell r="BJ364" t="str">
            <v>RackName</v>
          </cell>
          <cell r="BK364" t="str">
            <v>Style</v>
          </cell>
          <cell r="BL364" t="str">
            <v>RackName</v>
          </cell>
          <cell r="BM364" t="str">
            <v>Style</v>
          </cell>
          <cell r="BN364" t="str">
            <v>RackName</v>
          </cell>
          <cell r="BO364" t="str">
            <v>Style</v>
          </cell>
        </row>
        <row r="365">
          <cell r="A365" t="str">
            <v>B12</v>
          </cell>
          <cell r="C365" t="str">
            <v>DAIRY PROMO</v>
          </cell>
          <cell r="D365">
            <v>12</v>
          </cell>
          <cell r="E365" t="str">
            <v>OpenSglDeck</v>
          </cell>
          <cell r="F365" t="str">
            <v>B1-Base</v>
          </cell>
          <cell r="G365" t="str">
            <v>FIG</v>
          </cell>
          <cell r="H365">
            <v>4.1107499999999995</v>
          </cell>
          <cell r="I365">
            <v>0.61424999999999996</v>
          </cell>
          <cell r="J365">
            <v>-20</v>
          </cell>
          <cell r="K365">
            <v>6.3</v>
          </cell>
          <cell r="L365">
            <v>0.52500000000000002</v>
          </cell>
          <cell r="M365">
            <v>0</v>
          </cell>
          <cell r="N365">
            <v>72</v>
          </cell>
          <cell r="O365">
            <v>248</v>
          </cell>
          <cell r="P365">
            <v>2900</v>
          </cell>
          <cell r="Q365" t="str">
            <v>B12</v>
          </cell>
          <cell r="S365" t="str">
            <v>DAIRY PROMO</v>
          </cell>
          <cell r="T365">
            <v>12</v>
          </cell>
          <cell r="U365" t="str">
            <v>OpenSglDeck</v>
          </cell>
          <cell r="V365" t="str">
            <v>B1-Prop</v>
          </cell>
          <cell r="W365" t="str">
            <v>FIG</v>
          </cell>
          <cell r="X365">
            <v>4.1107499999999995</v>
          </cell>
          <cell r="Y365">
            <v>0.61424999999999996</v>
          </cell>
          <cell r="Z365">
            <v>-20</v>
          </cell>
          <cell r="AA365">
            <v>6.3</v>
          </cell>
          <cell r="AB365">
            <v>0.52500000000000002</v>
          </cell>
          <cell r="AC365">
            <v>0</v>
          </cell>
          <cell r="AD365">
            <v>24</v>
          </cell>
          <cell r="AE365">
            <v>248</v>
          </cell>
          <cell r="AF365">
            <v>2900</v>
          </cell>
          <cell r="AG365" t="str">
            <v>Doors: 4,4</v>
          </cell>
          <cell r="AJ365" t="str">
            <v>A1-Base</v>
          </cell>
          <cell r="AK365" t="str">
            <v>DoorSglDk</v>
          </cell>
          <cell r="AL365" t="str">
            <v>B1-Base</v>
          </cell>
          <cell r="AM365" t="str">
            <v>DoorSglDk</v>
          </cell>
          <cell r="AN365" t="str">
            <v>CL-Base</v>
          </cell>
          <cell r="AO365" t="str">
            <v>DoorSglDk</v>
          </cell>
          <cell r="AP365" t="str">
            <v>CM-Base</v>
          </cell>
          <cell r="AQ365" t="str">
            <v>DoorSglDk</v>
          </cell>
          <cell r="AR365" t="str">
            <v>DL-Base</v>
          </cell>
          <cell r="AS365" t="str">
            <v>DoorSglDk</v>
          </cell>
          <cell r="AT365" t="str">
            <v>DM-Base</v>
          </cell>
          <cell r="AU365" t="str">
            <v>DoorSglDk</v>
          </cell>
          <cell r="AV365" t="str">
            <v>A1-Base</v>
          </cell>
          <cell r="AW365" t="str">
            <v>OpenSglDeck</v>
          </cell>
          <cell r="AX365" t="str">
            <v>B1-Base</v>
          </cell>
          <cell r="AY365" t="str">
            <v>OpenSglDeck</v>
          </cell>
          <cell r="AZ365" t="str">
            <v>CL-Base</v>
          </cell>
          <cell r="BA365" t="str">
            <v>OpenSglDeck</v>
          </cell>
          <cell r="BB365" t="str">
            <v>CM-Base</v>
          </cell>
          <cell r="BC365" t="str">
            <v>OpenSglDeck</v>
          </cell>
          <cell r="BD365" t="str">
            <v>DL-Base</v>
          </cell>
          <cell r="BE365" t="str">
            <v>OpenSglDeck</v>
          </cell>
          <cell r="BF365" t="str">
            <v>DM-Base</v>
          </cell>
          <cell r="BG365" t="str">
            <v>OpenSglDeck</v>
          </cell>
          <cell r="BH365" t="str">
            <v>CM-Base</v>
          </cell>
          <cell r="BI365" t="str">
            <v>DoorCooler</v>
          </cell>
          <cell r="BJ365" t="str">
            <v>DL-Base</v>
          </cell>
          <cell r="BK365" t="str">
            <v>DoorCooler</v>
          </cell>
          <cell r="BL365" t="str">
            <v>DM-Base</v>
          </cell>
          <cell r="BM365" t="str">
            <v>DoorCooler</v>
          </cell>
          <cell r="BN365" t="str">
            <v>CL-Base</v>
          </cell>
          <cell r="BO365" t="str">
            <v>DoorFreezer</v>
          </cell>
        </row>
        <row r="366">
          <cell r="A366" t="str">
            <v>C13</v>
          </cell>
          <cell r="C366" t="str">
            <v>MEAT FREEZER</v>
          </cell>
          <cell r="D366" t="str">
            <v>16X28X10</v>
          </cell>
          <cell r="E366" t="str">
            <v>DoorFreezer</v>
          </cell>
          <cell r="F366" t="str">
            <v>CL-Base</v>
          </cell>
          <cell r="G366" t="str">
            <v>(2) KR44E-148EAA</v>
          </cell>
          <cell r="H366">
            <v>0</v>
          </cell>
          <cell r="I366">
            <v>0</v>
          </cell>
          <cell r="J366">
            <v>-20</v>
          </cell>
          <cell r="K366">
            <v>27.9</v>
          </cell>
          <cell r="L366" t="str">
            <v/>
          </cell>
          <cell r="M366">
            <v>0</v>
          </cell>
          <cell r="N366">
            <v>592</v>
          </cell>
          <cell r="O366">
            <v>0</v>
          </cell>
          <cell r="P366">
            <v>8000</v>
          </cell>
          <cell r="Q366" t="str">
            <v>C17</v>
          </cell>
          <cell r="S366" t="str">
            <v>Seafood?</v>
          </cell>
          <cell r="T366">
            <v>16</v>
          </cell>
          <cell r="U366" t="str">
            <v>DoorMultiDk</v>
          </cell>
          <cell r="V366" t="str">
            <v>CL-Prop</v>
          </cell>
          <cell r="W366" t="str">
            <v>RLT</v>
          </cell>
          <cell r="X366">
            <v>0</v>
          </cell>
          <cell r="Y366">
            <v>0</v>
          </cell>
          <cell r="Z366">
            <v>-20</v>
          </cell>
          <cell r="AA366">
            <v>8.3000000000000007</v>
          </cell>
          <cell r="AB366">
            <v>0.51875000000000004</v>
          </cell>
          <cell r="AC366">
            <v>108</v>
          </cell>
          <cell r="AD366">
            <v>376</v>
          </cell>
          <cell r="AE366">
            <v>830</v>
          </cell>
          <cell r="AF366">
            <v>5160</v>
          </cell>
          <cell r="AJ366" t="str">
            <v>A1-Base</v>
          </cell>
          <cell r="AK366" t="str">
            <v>DoorMultiDk</v>
          </cell>
          <cell r="AL366" t="str">
            <v>B1-Base</v>
          </cell>
          <cell r="AM366" t="str">
            <v>DoorMultiDk</v>
          </cell>
          <cell r="AN366" t="str">
            <v>CL-Base</v>
          </cell>
          <cell r="AO366" t="str">
            <v>DoorMultiDk</v>
          </cell>
          <cell r="AP366" t="str">
            <v>CM-Base</v>
          </cell>
          <cell r="AQ366" t="str">
            <v>DoorMultiDk</v>
          </cell>
          <cell r="AR366" t="str">
            <v>DL-Base</v>
          </cell>
          <cell r="AS366" t="str">
            <v>DoorMultiDk</v>
          </cell>
          <cell r="AT366" t="str">
            <v>DM-Base</v>
          </cell>
          <cell r="AU366" t="str">
            <v>DoorMultiDk</v>
          </cell>
          <cell r="AV366" t="str">
            <v>A1-Base</v>
          </cell>
          <cell r="AW366" t="str">
            <v>OpenMultiDk</v>
          </cell>
          <cell r="AX366" t="str">
            <v>B1-Base</v>
          </cell>
          <cell r="AY366" t="str">
            <v>OpenMultiDk</v>
          </cell>
          <cell r="AZ366" t="str">
            <v>CL-Base</v>
          </cell>
          <cell r="BA366" t="str">
            <v>OpenMultiDk</v>
          </cell>
          <cell r="BB366" t="str">
            <v>CM-Base</v>
          </cell>
          <cell r="BC366" t="str">
            <v>OpenMultiDk</v>
          </cell>
          <cell r="BD366" t="str">
            <v>DL-Base</v>
          </cell>
          <cell r="BE366" t="str">
            <v>OpenMultiDk</v>
          </cell>
          <cell r="BF366" t="str">
            <v>DM-Base</v>
          </cell>
          <cell r="BG366" t="str">
            <v>OpenMultiDk</v>
          </cell>
          <cell r="BH366" t="str">
            <v>CM-Base</v>
          </cell>
          <cell r="BI366" t="str">
            <v>DoorCooler</v>
          </cell>
          <cell r="BJ366" t="str">
            <v>DL-Base</v>
          </cell>
          <cell r="BK366" t="str">
            <v>DoorCooler</v>
          </cell>
          <cell r="BL366" t="str">
            <v>DM-Base</v>
          </cell>
          <cell r="BM366" t="str">
            <v>DoorCooler</v>
          </cell>
          <cell r="BN366" t="str">
            <v>CL-Base</v>
          </cell>
          <cell r="BO366" t="str">
            <v>DoorFreezer</v>
          </cell>
        </row>
        <row r="367">
          <cell r="A367" t="str">
            <v>C16</v>
          </cell>
          <cell r="C367" t="str">
            <v>BAKERY FREEZER</v>
          </cell>
          <cell r="D367" t="str">
            <v>26X17X10</v>
          </cell>
          <cell r="E367" t="str">
            <v>DoorFreezer</v>
          </cell>
          <cell r="F367" t="str">
            <v>CL-Base</v>
          </cell>
          <cell r="G367" t="str">
            <v>(2) KR44E-148EAA</v>
          </cell>
          <cell r="H367">
            <v>0</v>
          </cell>
          <cell r="I367">
            <v>0</v>
          </cell>
          <cell r="J367">
            <v>-20</v>
          </cell>
          <cell r="K367">
            <v>28.8</v>
          </cell>
          <cell r="L367" t="str">
            <v/>
          </cell>
          <cell r="M367">
            <v>0</v>
          </cell>
          <cell r="N367">
            <v>592</v>
          </cell>
          <cell r="O367">
            <v>0</v>
          </cell>
          <cell r="P367">
            <v>8000</v>
          </cell>
          <cell r="Q367" t="str">
            <v>C22</v>
          </cell>
          <cell r="S367" t="str">
            <v>Ice Cream Cake?</v>
          </cell>
          <cell r="T367">
            <v>10</v>
          </cell>
          <cell r="U367" t="str">
            <v>DoorMultiDk</v>
          </cell>
          <cell r="V367" t="str">
            <v>CL-Prop</v>
          </cell>
          <cell r="W367" t="str">
            <v>RLT</v>
          </cell>
          <cell r="X367">
            <v>0</v>
          </cell>
          <cell r="Y367">
            <v>0</v>
          </cell>
          <cell r="Z367">
            <v>-20</v>
          </cell>
          <cell r="AA367">
            <v>5.4</v>
          </cell>
          <cell r="AB367">
            <v>0.54</v>
          </cell>
          <cell r="AC367">
            <v>72</v>
          </cell>
          <cell r="AD367">
            <v>250</v>
          </cell>
          <cell r="AE367">
            <v>554</v>
          </cell>
          <cell r="AF367">
            <v>3200</v>
          </cell>
          <cell r="AJ367" t="str">
            <v>A1-Base</v>
          </cell>
          <cell r="AK367" t="str">
            <v>DoorMultiDk</v>
          </cell>
          <cell r="AL367" t="str">
            <v>B1-Base</v>
          </cell>
          <cell r="AM367" t="str">
            <v>DoorMultiDk</v>
          </cell>
          <cell r="AN367" t="str">
            <v>CL-Base</v>
          </cell>
          <cell r="AO367" t="str">
            <v>DoorMultiDk</v>
          </cell>
          <cell r="AP367" t="str">
            <v>CM-Base</v>
          </cell>
          <cell r="AQ367" t="str">
            <v>DoorMultiDk</v>
          </cell>
          <cell r="AR367" t="str">
            <v>DL-Base</v>
          </cell>
          <cell r="AS367" t="str">
            <v>DoorMultiDk</v>
          </cell>
          <cell r="AT367" t="str">
            <v>DM-Base</v>
          </cell>
          <cell r="AU367" t="str">
            <v>DoorMultiDk</v>
          </cell>
          <cell r="AV367" t="str">
            <v>A1-Base</v>
          </cell>
          <cell r="AW367" t="str">
            <v>OpenMultiDk</v>
          </cell>
          <cell r="AX367" t="str">
            <v>B1-Base</v>
          </cell>
          <cell r="AY367" t="str">
            <v>OpenMultiDk</v>
          </cell>
          <cell r="AZ367" t="str">
            <v>CL-Base</v>
          </cell>
          <cell r="BA367" t="str">
            <v>OpenMultiDk</v>
          </cell>
          <cell r="BB367" t="str">
            <v>CM-Base</v>
          </cell>
          <cell r="BC367" t="str">
            <v>OpenMultiDk</v>
          </cell>
          <cell r="BD367" t="str">
            <v>DL-Base</v>
          </cell>
          <cell r="BE367" t="str">
            <v>OpenMultiDk</v>
          </cell>
          <cell r="BF367" t="str">
            <v>DM-Base</v>
          </cell>
          <cell r="BG367" t="str">
            <v>OpenMultiDk</v>
          </cell>
        </row>
        <row r="368">
          <cell r="A368" t="str">
            <v>C17</v>
          </cell>
          <cell r="C368" t="str">
            <v>Seafood?</v>
          </cell>
          <cell r="D368">
            <v>16</v>
          </cell>
          <cell r="E368" t="str">
            <v>DoorMultiDk</v>
          </cell>
          <cell r="F368" t="str">
            <v>CL-Base</v>
          </cell>
          <cell r="G368" t="str">
            <v>RLT</v>
          </cell>
          <cell r="H368">
            <v>0</v>
          </cell>
          <cell r="I368">
            <v>0</v>
          </cell>
          <cell r="J368">
            <v>-20</v>
          </cell>
          <cell r="K368">
            <v>8.6</v>
          </cell>
          <cell r="L368">
            <v>0.53749999999999998</v>
          </cell>
          <cell r="M368">
            <v>480</v>
          </cell>
          <cell r="N368">
            <v>376</v>
          </cell>
          <cell r="O368">
            <v>830</v>
          </cell>
          <cell r="P368">
            <v>5160</v>
          </cell>
          <cell r="Q368" t="str">
            <v>C18</v>
          </cell>
          <cell r="S368" t="str">
            <v>DUAL TEMP MEAT</v>
          </cell>
          <cell r="T368">
            <v>12</v>
          </cell>
          <cell r="U368" t="str">
            <v>OpenSglDeck</v>
          </cell>
          <cell r="V368" t="str">
            <v>CL-Prop</v>
          </cell>
          <cell r="W368" t="str">
            <v>FWG (1 side)</v>
          </cell>
          <cell r="X368">
            <v>2.5447499999999996</v>
          </cell>
          <cell r="Y368">
            <v>0.38024999999999998</v>
          </cell>
          <cell r="Z368">
            <v>-20</v>
          </cell>
          <cell r="AA368">
            <v>3.9</v>
          </cell>
          <cell r="AB368">
            <v>0.32500000000000001</v>
          </cell>
          <cell r="AC368">
            <v>0</v>
          </cell>
          <cell r="AD368">
            <v>16</v>
          </cell>
          <cell r="AE368">
            <v>169</v>
          </cell>
          <cell r="AF368">
            <v>2400</v>
          </cell>
          <cell r="AJ368" t="str">
            <v>A1-Base</v>
          </cell>
          <cell r="AK368" t="str">
            <v>DoorMultiDk</v>
          </cell>
          <cell r="AL368" t="str">
            <v>B1-Base</v>
          </cell>
          <cell r="AM368" t="str">
            <v>DoorMultiDk</v>
          </cell>
          <cell r="AN368" t="str">
            <v>CL-Base</v>
          </cell>
          <cell r="AO368" t="str">
            <v>DoorMultiDk</v>
          </cell>
          <cell r="AP368" t="str">
            <v>CM-Base</v>
          </cell>
          <cell r="AQ368" t="str">
            <v>DoorMultiDk</v>
          </cell>
          <cell r="AR368" t="str">
            <v>DL-Base</v>
          </cell>
          <cell r="AS368" t="str">
            <v>DoorMultiDk</v>
          </cell>
          <cell r="AT368" t="str">
            <v>DM-Base</v>
          </cell>
          <cell r="AU368" t="str">
            <v>DoorMultiDk</v>
          </cell>
          <cell r="AV368" t="str">
            <v>A1-Base</v>
          </cell>
          <cell r="AW368" t="str">
            <v>OpenMultiDk</v>
          </cell>
          <cell r="AX368" t="str">
            <v>B1-Base</v>
          </cell>
          <cell r="AY368" t="str">
            <v>OpenMultiDk</v>
          </cell>
          <cell r="AZ368" t="str">
            <v>CL-Base</v>
          </cell>
          <cell r="BA368" t="str">
            <v>OpenMultiDk</v>
          </cell>
          <cell r="BB368" t="str">
            <v>CM-Base</v>
          </cell>
          <cell r="BC368" t="str">
            <v>OpenMultiDk</v>
          </cell>
          <cell r="BD368" t="str">
            <v>DL-Base</v>
          </cell>
          <cell r="BE368" t="str">
            <v>OpenMultiDk</v>
          </cell>
          <cell r="BF368" t="str">
            <v>DM-Base</v>
          </cell>
          <cell r="BG368" t="str">
            <v>OpenMultiDk</v>
          </cell>
        </row>
        <row r="369">
          <cell r="A369" t="str">
            <v>C22</v>
          </cell>
          <cell r="C369" t="str">
            <v>Ice Cream Cake?</v>
          </cell>
          <cell r="D369">
            <v>10</v>
          </cell>
          <cell r="E369" t="str">
            <v>DoorMultiDk</v>
          </cell>
          <cell r="F369" t="str">
            <v>CL-Base</v>
          </cell>
          <cell r="G369" t="str">
            <v>RLT</v>
          </cell>
          <cell r="H369">
            <v>0</v>
          </cell>
          <cell r="I369">
            <v>0</v>
          </cell>
          <cell r="J369">
            <v>-20</v>
          </cell>
          <cell r="K369">
            <v>5.7</v>
          </cell>
          <cell r="L369">
            <v>0.57000000000000006</v>
          </cell>
          <cell r="M369">
            <v>300</v>
          </cell>
          <cell r="N369">
            <v>250</v>
          </cell>
          <cell r="O369">
            <v>554</v>
          </cell>
          <cell r="P369">
            <v>3200</v>
          </cell>
          <cell r="Q369" t="str">
            <v>C19</v>
          </cell>
          <cell r="S369" t="str">
            <v>DUAL TEMP MEAT</v>
          </cell>
          <cell r="T369">
            <v>12</v>
          </cell>
          <cell r="U369" t="str">
            <v>OpenSglDeck</v>
          </cell>
          <cell r="V369" t="str">
            <v>CL-Prop</v>
          </cell>
          <cell r="W369" t="str">
            <v>FWG (1 side)</v>
          </cell>
          <cell r="X369">
            <v>2.5447499999999996</v>
          </cell>
          <cell r="Y369">
            <v>0.38024999999999998</v>
          </cell>
          <cell r="Z369">
            <v>-20</v>
          </cell>
          <cell r="AA369">
            <v>3.9</v>
          </cell>
          <cell r="AB369">
            <v>0.32500000000000001</v>
          </cell>
          <cell r="AC369">
            <v>0</v>
          </cell>
          <cell r="AD369">
            <v>16</v>
          </cell>
          <cell r="AE369">
            <v>169</v>
          </cell>
          <cell r="AF369">
            <v>2400</v>
          </cell>
        </row>
        <row r="370">
          <cell r="A370" t="str">
            <v>C18</v>
          </cell>
          <cell r="C370" t="str">
            <v>DUAL TEMP MEAT</v>
          </cell>
          <cell r="D370">
            <v>12</v>
          </cell>
          <cell r="E370" t="str">
            <v>OpenSglDeck</v>
          </cell>
          <cell r="F370" t="str">
            <v>CL-Base</v>
          </cell>
          <cell r="G370" t="str">
            <v>FWG (1 side)</v>
          </cell>
          <cell r="H370">
            <v>2.5447499999999996</v>
          </cell>
          <cell r="I370">
            <v>0.38024999999999998</v>
          </cell>
          <cell r="J370">
            <v>-20</v>
          </cell>
          <cell r="K370">
            <v>3.9</v>
          </cell>
          <cell r="L370">
            <v>0.32500000000000001</v>
          </cell>
          <cell r="M370">
            <v>0</v>
          </cell>
          <cell r="N370">
            <v>96</v>
          </cell>
          <cell r="O370">
            <v>169</v>
          </cell>
          <cell r="P370">
            <v>2400</v>
          </cell>
          <cell r="Q370" t="str">
            <v>C20</v>
          </cell>
          <cell r="S370" t="str">
            <v>DUAL TEMP MEAT</v>
          </cell>
          <cell r="T370">
            <v>6</v>
          </cell>
          <cell r="U370" t="str">
            <v>OpenSglDeck</v>
          </cell>
          <cell r="V370" t="str">
            <v>CL-Prop</v>
          </cell>
          <cell r="W370" t="str">
            <v>FWEG</v>
          </cell>
          <cell r="X370">
            <v>1.7617499999999999</v>
          </cell>
          <cell r="Y370">
            <v>0.26325000000000004</v>
          </cell>
          <cell r="Z370">
            <v>-20</v>
          </cell>
          <cell r="AA370">
            <v>2.7</v>
          </cell>
          <cell r="AB370">
            <v>0.45</v>
          </cell>
          <cell r="AC370">
            <v>0</v>
          </cell>
          <cell r="AD370">
            <v>8</v>
          </cell>
          <cell r="AE370">
            <v>64</v>
          </cell>
          <cell r="AF370">
            <v>1360</v>
          </cell>
        </row>
        <row r="371">
          <cell r="A371" t="str">
            <v>C19</v>
          </cell>
          <cell r="C371" t="str">
            <v>DUAL TEMP MEAT</v>
          </cell>
          <cell r="D371">
            <v>12</v>
          </cell>
          <cell r="E371" t="str">
            <v>OpenSglDeck</v>
          </cell>
          <cell r="F371" t="str">
            <v>CL-Base</v>
          </cell>
          <cell r="G371" t="str">
            <v>FWG (1 side)</v>
          </cell>
          <cell r="H371">
            <v>2.5447499999999996</v>
          </cell>
          <cell r="I371">
            <v>0.38024999999999998</v>
          </cell>
          <cell r="J371">
            <v>-20</v>
          </cell>
          <cell r="K371">
            <v>3.9</v>
          </cell>
          <cell r="L371">
            <v>0.32500000000000001</v>
          </cell>
          <cell r="M371">
            <v>0</v>
          </cell>
          <cell r="N371">
            <v>96</v>
          </cell>
          <cell r="O371">
            <v>169</v>
          </cell>
          <cell r="P371">
            <v>2400</v>
          </cell>
          <cell r="Q371" t="str">
            <v>C21</v>
          </cell>
          <cell r="S371" t="str">
            <v>DUAL TEMP MEAT</v>
          </cell>
          <cell r="T371">
            <v>6</v>
          </cell>
          <cell r="U371" t="str">
            <v>OpenSglDeck</v>
          </cell>
          <cell r="V371" t="str">
            <v>CL-Prop</v>
          </cell>
          <cell r="W371" t="str">
            <v>FWEG</v>
          </cell>
          <cell r="X371">
            <v>1.7617499999999999</v>
          </cell>
          <cell r="Y371">
            <v>0.26325000000000004</v>
          </cell>
          <cell r="Z371">
            <v>-20</v>
          </cell>
          <cell r="AA371">
            <v>2.7</v>
          </cell>
          <cell r="AB371">
            <v>0.45</v>
          </cell>
          <cell r="AC371">
            <v>0</v>
          </cell>
          <cell r="AD371">
            <v>8</v>
          </cell>
          <cell r="AE371">
            <v>64</v>
          </cell>
          <cell r="AF371">
            <v>1360</v>
          </cell>
          <cell r="AJ371" t="str">
            <v>RackName</v>
          </cell>
          <cell r="AK371" t="str">
            <v>Style</v>
          </cell>
          <cell r="AL371" t="str">
            <v>RackName</v>
          </cell>
          <cell r="AM371" t="str">
            <v>Style</v>
          </cell>
          <cell r="AN371" t="str">
            <v>RackName</v>
          </cell>
          <cell r="AO371" t="str">
            <v>Style</v>
          </cell>
          <cell r="AP371" t="str">
            <v>RackName</v>
          </cell>
          <cell r="AQ371" t="str">
            <v>Style</v>
          </cell>
          <cell r="AR371" t="str">
            <v>RackName</v>
          </cell>
          <cell r="AS371" t="str">
            <v>Style</v>
          </cell>
          <cell r="AT371" t="str">
            <v>RackName</v>
          </cell>
          <cell r="AU371" t="str">
            <v>Style</v>
          </cell>
          <cell r="AV371" t="str">
            <v>RackName</v>
          </cell>
          <cell r="AW371" t="str">
            <v>Style</v>
          </cell>
          <cell r="AX371" t="str">
            <v>RackName</v>
          </cell>
          <cell r="AY371" t="str">
            <v>Style</v>
          </cell>
          <cell r="AZ371" t="str">
            <v>RackName</v>
          </cell>
          <cell r="BA371" t="str">
            <v>Style</v>
          </cell>
          <cell r="BB371" t="str">
            <v>RackName</v>
          </cell>
          <cell r="BC371" t="str">
            <v>Style</v>
          </cell>
          <cell r="BD371" t="str">
            <v>RackName</v>
          </cell>
          <cell r="BE371" t="str">
            <v>Style</v>
          </cell>
          <cell r="BF371" t="str">
            <v>RackName</v>
          </cell>
          <cell r="BG371" t="str">
            <v>Style</v>
          </cell>
          <cell r="BH371" t="str">
            <v>RackName</v>
          </cell>
          <cell r="BI371" t="str">
            <v>Style</v>
          </cell>
          <cell r="BJ371" t="str">
            <v>RackName</v>
          </cell>
          <cell r="BK371" t="str">
            <v>Style</v>
          </cell>
          <cell r="BL371" t="str">
            <v>RackName</v>
          </cell>
          <cell r="BM371" t="str">
            <v>Style</v>
          </cell>
          <cell r="BN371" t="str">
            <v>RackName</v>
          </cell>
          <cell r="BO371" t="str">
            <v>Style</v>
          </cell>
        </row>
        <row r="372">
          <cell r="A372" t="str">
            <v>C20</v>
          </cell>
          <cell r="C372" t="str">
            <v>DUAL TEMP MEAT</v>
          </cell>
          <cell r="D372">
            <v>6</v>
          </cell>
          <cell r="E372" t="str">
            <v>OpenSglDeck</v>
          </cell>
          <cell r="F372" t="str">
            <v>CL-Base</v>
          </cell>
          <cell r="G372" t="str">
            <v>FWEG</v>
          </cell>
          <cell r="H372">
            <v>1.7617499999999999</v>
          </cell>
          <cell r="I372">
            <v>0.26325000000000004</v>
          </cell>
          <cell r="J372">
            <v>-20</v>
          </cell>
          <cell r="K372">
            <v>2.7</v>
          </cell>
          <cell r="L372">
            <v>0.45</v>
          </cell>
          <cell r="M372">
            <v>0</v>
          </cell>
          <cell r="N372">
            <v>24</v>
          </cell>
          <cell r="O372">
            <v>64</v>
          </cell>
          <cell r="P372">
            <v>1360</v>
          </cell>
          <cell r="Q372" t="str">
            <v>C13</v>
          </cell>
          <cell r="S372" t="str">
            <v>MEAT FREEZER</v>
          </cell>
          <cell r="T372" t="str">
            <v>16X28X10</v>
          </cell>
          <cell r="U372" t="str">
            <v>DoorFreezer</v>
          </cell>
          <cell r="V372" t="str">
            <v>CL-Prop</v>
          </cell>
          <cell r="W372" t="str">
            <v>(2) KR44E-148EAA</v>
          </cell>
          <cell r="X372">
            <v>0</v>
          </cell>
          <cell r="Y372">
            <v>0</v>
          </cell>
          <cell r="Z372">
            <v>-20</v>
          </cell>
          <cell r="AA372">
            <v>27.9</v>
          </cell>
          <cell r="AB372" t="str">
            <v/>
          </cell>
          <cell r="AC372">
            <v>0</v>
          </cell>
          <cell r="AD372">
            <v>274</v>
          </cell>
          <cell r="AE372">
            <v>0</v>
          </cell>
          <cell r="AF372">
            <v>8000</v>
          </cell>
          <cell r="AJ372" t="str">
            <v>A1-Prop</v>
          </cell>
          <cell r="AK372" t="str">
            <v>DoorSglDk</v>
          </cell>
          <cell r="AL372" t="str">
            <v>B1-Prop</v>
          </cell>
          <cell r="AM372" t="str">
            <v>DoorSglDk</v>
          </cell>
          <cell r="AN372" t="str">
            <v>CL-Prop</v>
          </cell>
          <cell r="AO372" t="str">
            <v>DoorSglDk</v>
          </cell>
          <cell r="AP372" t="str">
            <v>CM-Prop</v>
          </cell>
          <cell r="AQ372" t="str">
            <v>DoorSglDk</v>
          </cell>
          <cell r="AR372" t="str">
            <v>DL-Prop</v>
          </cell>
          <cell r="AS372" t="str">
            <v>DoorSglDk</v>
          </cell>
          <cell r="AT372" t="str">
            <v>DM-Prop</v>
          </cell>
          <cell r="AU372" t="str">
            <v>DoorSglDk</v>
          </cell>
          <cell r="AV372" t="str">
            <v>A1-Prop</v>
          </cell>
          <cell r="AW372" t="str">
            <v>OpenSglDeck</v>
          </cell>
          <cell r="AX372" t="str">
            <v>B1-Prop</v>
          </cell>
          <cell r="AY372" t="str">
            <v>OpenSglDeck</v>
          </cell>
          <cell r="AZ372" t="str">
            <v>CL-Prop</v>
          </cell>
          <cell r="BA372" t="str">
            <v>OpenSglDeck</v>
          </cell>
          <cell r="BB372" t="str">
            <v>CM-Prop</v>
          </cell>
          <cell r="BC372" t="str">
            <v>OpenSglDeck</v>
          </cell>
          <cell r="BD372" t="str">
            <v>DL-Prop</v>
          </cell>
          <cell r="BE372" t="str">
            <v>OpenSglDeck</v>
          </cell>
          <cell r="BF372" t="str">
            <v>DM-Prop</v>
          </cell>
          <cell r="BG372" t="str">
            <v>OpenSglDeck</v>
          </cell>
          <cell r="BH372" t="str">
            <v>CM-Prop</v>
          </cell>
          <cell r="BI372" t="str">
            <v>DoorCooler</v>
          </cell>
          <cell r="BJ372" t="str">
            <v>DL-Prop</v>
          </cell>
          <cell r="BK372" t="str">
            <v>DoorCooler</v>
          </cell>
          <cell r="BL372" t="str">
            <v>DM-Prop</v>
          </cell>
          <cell r="BM372" t="str">
            <v>DoorCooler</v>
          </cell>
          <cell r="BN372" t="str">
            <v>CL-Prop</v>
          </cell>
          <cell r="BO372" t="str">
            <v>DoorFreezer</v>
          </cell>
        </row>
        <row r="373">
          <cell r="A373" t="str">
            <v>C21</v>
          </cell>
          <cell r="C373" t="str">
            <v>DUAL TEMP MEAT</v>
          </cell>
          <cell r="D373">
            <v>6</v>
          </cell>
          <cell r="E373" t="str">
            <v>OpenSglDeck</v>
          </cell>
          <cell r="F373" t="str">
            <v>CL-Base</v>
          </cell>
          <cell r="G373" t="str">
            <v>FWEG</v>
          </cell>
          <cell r="H373">
            <v>1.7617499999999999</v>
          </cell>
          <cell r="I373">
            <v>0.26325000000000004</v>
          </cell>
          <cell r="J373">
            <v>-20</v>
          </cell>
          <cell r="K373">
            <v>2.7</v>
          </cell>
          <cell r="L373">
            <v>0.45</v>
          </cell>
          <cell r="M373">
            <v>0</v>
          </cell>
          <cell r="N373">
            <v>24</v>
          </cell>
          <cell r="O373">
            <v>64</v>
          </cell>
          <cell r="P373">
            <v>1360</v>
          </cell>
          <cell r="Q373" t="str">
            <v>C16</v>
          </cell>
          <cell r="S373" t="str">
            <v>BAKERY FREEZERS</v>
          </cell>
          <cell r="T373" t="str">
            <v>26X17X10</v>
          </cell>
          <cell r="U373" t="str">
            <v>DoorFreezer</v>
          </cell>
          <cell r="V373" t="str">
            <v>CL-Prop</v>
          </cell>
          <cell r="W373" t="str">
            <v>(2) KR44E-148EAA</v>
          </cell>
          <cell r="X373">
            <v>0</v>
          </cell>
          <cell r="Y373">
            <v>0</v>
          </cell>
          <cell r="Z373">
            <v>-20</v>
          </cell>
          <cell r="AA373">
            <v>28.8</v>
          </cell>
          <cell r="AB373" t="str">
            <v/>
          </cell>
          <cell r="AC373">
            <v>0</v>
          </cell>
          <cell r="AD373">
            <v>274</v>
          </cell>
          <cell r="AE373">
            <v>0</v>
          </cell>
          <cell r="AF373">
            <v>8000</v>
          </cell>
          <cell r="AJ373" t="str">
            <v>A1-Prop</v>
          </cell>
          <cell r="AK373" t="str">
            <v>DoorMultiDk</v>
          </cell>
          <cell r="AL373" t="str">
            <v>B1-Prop</v>
          </cell>
          <cell r="AM373" t="str">
            <v>DoorMultiDk</v>
          </cell>
          <cell r="AN373" t="str">
            <v>CL-Prop</v>
          </cell>
          <cell r="AO373" t="str">
            <v>DoorMultiDk</v>
          </cell>
          <cell r="AP373" t="str">
            <v>CM-Prop</v>
          </cell>
          <cell r="AQ373" t="str">
            <v>DoorMultiDk</v>
          </cell>
          <cell r="AR373" t="str">
            <v>DL-Prop</v>
          </cell>
          <cell r="AS373" t="str">
            <v>DoorMultiDk</v>
          </cell>
          <cell r="AT373" t="str">
            <v>DM-Prop</v>
          </cell>
          <cell r="AU373" t="str">
            <v>DoorMultiDk</v>
          </cell>
          <cell r="AV373" t="str">
            <v>A1-Prop</v>
          </cell>
          <cell r="AW373" t="str">
            <v>OpenMultiDk</v>
          </cell>
          <cell r="AX373" t="str">
            <v>B1-Prop</v>
          </cell>
          <cell r="AY373" t="str">
            <v>OpenMultiDk</v>
          </cell>
          <cell r="AZ373" t="str">
            <v>CL-Prop</v>
          </cell>
          <cell r="BA373" t="str">
            <v>OpenMultiDk</v>
          </cell>
          <cell r="BB373" t="str">
            <v>CM-Prop</v>
          </cell>
          <cell r="BC373" t="str">
            <v>OpenMultiDk</v>
          </cell>
          <cell r="BD373" t="str">
            <v>DL-Prop</v>
          </cell>
          <cell r="BE373" t="str">
            <v>OpenMultiDk</v>
          </cell>
          <cell r="BF373" t="str">
            <v>DM-Prop</v>
          </cell>
          <cell r="BG373" t="str">
            <v>OpenMultiDk</v>
          </cell>
          <cell r="BH373" t="str">
            <v>CM-Prop</v>
          </cell>
          <cell r="BI373" t="str">
            <v>DoorCooler</v>
          </cell>
          <cell r="BJ373" t="str">
            <v>DL-Prop</v>
          </cell>
          <cell r="BK373" t="str">
            <v>DoorCooler</v>
          </cell>
          <cell r="BL373" t="str">
            <v>DM-Prop</v>
          </cell>
          <cell r="BM373" t="str">
            <v>DoorCooler</v>
          </cell>
          <cell r="BN373" t="str">
            <v>CL-Prop</v>
          </cell>
          <cell r="BO373" t="str">
            <v>DoorFreezer</v>
          </cell>
        </row>
        <row r="374">
          <cell r="A374" t="str">
            <v>C01</v>
          </cell>
          <cell r="C374" t="str">
            <v>MEAT PREP</v>
          </cell>
          <cell r="D374" t="str">
            <v>20x26x10</v>
          </cell>
          <cell r="E374" t="str">
            <v>DoorCooler</v>
          </cell>
          <cell r="F374" t="str">
            <v>CM-Base</v>
          </cell>
          <cell r="G374" t="str">
            <v>(2) GL34A-105</v>
          </cell>
          <cell r="H374">
            <v>0</v>
          </cell>
          <cell r="I374">
            <v>0</v>
          </cell>
          <cell r="J374">
            <v>35</v>
          </cell>
          <cell r="K374">
            <v>27.3</v>
          </cell>
          <cell r="L374" t="str">
            <v/>
          </cell>
          <cell r="M374">
            <v>0</v>
          </cell>
          <cell r="N374">
            <v>434</v>
          </cell>
          <cell r="O374">
            <v>0</v>
          </cell>
          <cell r="P374">
            <v>0</v>
          </cell>
          <cell r="Q374" t="str">
            <v>C10</v>
          </cell>
          <cell r="S374" t="str">
            <v>Service deli top</v>
          </cell>
          <cell r="T374">
            <v>32</v>
          </cell>
          <cell r="U374" t="str">
            <v>DoorMultiDk</v>
          </cell>
          <cell r="V374" t="str">
            <v>CM-Prop</v>
          </cell>
          <cell r="W374" t="str">
            <v>R3HVWD</v>
          </cell>
          <cell r="X374">
            <v>0</v>
          </cell>
          <cell r="Y374">
            <v>0</v>
          </cell>
          <cell r="Z374">
            <v>20</v>
          </cell>
          <cell r="AA374">
            <v>18.600000000000001</v>
          </cell>
          <cell r="AB374">
            <v>0.58125000000000004</v>
          </cell>
          <cell r="AC374">
            <v>612</v>
          </cell>
          <cell r="AD374">
            <v>1128</v>
          </cell>
          <cell r="AE374">
            <v>0</v>
          </cell>
          <cell r="AF374">
            <v>0</v>
          </cell>
          <cell r="AJ374" t="str">
            <v>A1-Prop</v>
          </cell>
          <cell r="AK374" t="str">
            <v>DoorMultiDk</v>
          </cell>
          <cell r="AL374" t="str">
            <v>B1-Prop</v>
          </cell>
          <cell r="AM374" t="str">
            <v>DoorMultiDk</v>
          </cell>
          <cell r="AN374" t="str">
            <v>CL-Prop</v>
          </cell>
          <cell r="AO374" t="str">
            <v>DoorMultiDk</v>
          </cell>
          <cell r="AP374" t="str">
            <v>CM-Prop</v>
          </cell>
          <cell r="AQ374" t="str">
            <v>DoorMultiDk</v>
          </cell>
          <cell r="AR374" t="str">
            <v>DL-Prop</v>
          </cell>
          <cell r="AS374" t="str">
            <v>DoorMultiDk</v>
          </cell>
          <cell r="AT374" t="str">
            <v>DM-Prop</v>
          </cell>
          <cell r="AU374" t="str">
            <v>DoorMultiDk</v>
          </cell>
          <cell r="AV374" t="str">
            <v>A1-Prop</v>
          </cell>
          <cell r="AW374" t="str">
            <v>OpenMultiDk</v>
          </cell>
          <cell r="AX374" t="str">
            <v>B1-Prop</v>
          </cell>
          <cell r="AY374" t="str">
            <v>OpenMultiDk</v>
          </cell>
          <cell r="AZ374" t="str">
            <v>CL-Prop</v>
          </cell>
          <cell r="BA374" t="str">
            <v>OpenMultiDk</v>
          </cell>
          <cell r="BB374" t="str">
            <v>CM-Prop</v>
          </cell>
          <cell r="BC374" t="str">
            <v>OpenMultiDk</v>
          </cell>
          <cell r="BD374" t="str">
            <v>DL-Prop</v>
          </cell>
          <cell r="BE374" t="str">
            <v>OpenMultiDk</v>
          </cell>
          <cell r="BF374" t="str">
            <v>DM-Prop</v>
          </cell>
          <cell r="BG374" t="str">
            <v>OpenMultiDk</v>
          </cell>
        </row>
        <row r="375">
          <cell r="A375" t="str">
            <v>C04</v>
          </cell>
          <cell r="C375" t="str">
            <v>BAKERY COOLER</v>
          </cell>
          <cell r="D375" t="str">
            <v>8X10X10</v>
          </cell>
          <cell r="E375" t="str">
            <v>DoorCooler</v>
          </cell>
          <cell r="F375" t="str">
            <v>CM-Base</v>
          </cell>
          <cell r="G375" t="str">
            <v>KR26A-072</v>
          </cell>
          <cell r="H375">
            <v>0</v>
          </cell>
          <cell r="I375">
            <v>0</v>
          </cell>
          <cell r="J375">
            <v>24</v>
          </cell>
          <cell r="K375">
            <v>7</v>
          </cell>
          <cell r="L375" t="str">
            <v/>
          </cell>
          <cell r="M375">
            <v>0</v>
          </cell>
          <cell r="N375">
            <v>148</v>
          </cell>
          <cell r="O375">
            <v>0</v>
          </cell>
          <cell r="P375">
            <v>0</v>
          </cell>
          <cell r="Q375" t="str">
            <v>C11</v>
          </cell>
          <cell r="S375" t="str">
            <v>Service deli bot</v>
          </cell>
          <cell r="T375">
            <v>32</v>
          </cell>
          <cell r="U375" t="str">
            <v>DoorMultiDk</v>
          </cell>
          <cell r="V375" t="str">
            <v>CM-Prop</v>
          </cell>
          <cell r="W375" t="str">
            <v>R3HVWD</v>
          </cell>
          <cell r="X375">
            <v>0</v>
          </cell>
          <cell r="Y375">
            <v>0</v>
          </cell>
          <cell r="Z375">
            <v>20</v>
          </cell>
          <cell r="AA375">
            <v>24</v>
          </cell>
          <cell r="AB375">
            <v>0.75</v>
          </cell>
          <cell r="AC375">
            <v>612</v>
          </cell>
          <cell r="AD375">
            <v>1128</v>
          </cell>
          <cell r="AE375">
            <v>0</v>
          </cell>
          <cell r="AF375">
            <v>0</v>
          </cell>
          <cell r="AJ375" t="str">
            <v>A1-Prop</v>
          </cell>
          <cell r="AK375" t="str">
            <v>DoorMultiDk</v>
          </cell>
          <cell r="AL375" t="str">
            <v>B1-Prop</v>
          </cell>
          <cell r="AM375" t="str">
            <v>DoorMultiDk</v>
          </cell>
          <cell r="AN375" t="str">
            <v>CL-Prop</v>
          </cell>
          <cell r="AO375" t="str">
            <v>DoorMultiDk</v>
          </cell>
          <cell r="AP375" t="str">
            <v>CM-Prop</v>
          </cell>
          <cell r="AQ375" t="str">
            <v>DoorMultiDk</v>
          </cell>
          <cell r="AR375" t="str">
            <v>DL-Prop</v>
          </cell>
          <cell r="AS375" t="str">
            <v>DoorMultiDk</v>
          </cell>
          <cell r="AT375" t="str">
            <v>DM-Prop</v>
          </cell>
          <cell r="AU375" t="str">
            <v>DoorMultiDk</v>
          </cell>
          <cell r="AV375" t="str">
            <v>A1-Prop</v>
          </cell>
          <cell r="AW375" t="str">
            <v>OpenMultiDk</v>
          </cell>
          <cell r="AX375" t="str">
            <v>B1-Prop</v>
          </cell>
          <cell r="AY375" t="str">
            <v>OpenMultiDk</v>
          </cell>
          <cell r="AZ375" t="str">
            <v>CL-Prop</v>
          </cell>
          <cell r="BA375" t="str">
            <v>OpenMultiDk</v>
          </cell>
          <cell r="BB375" t="str">
            <v>CM-Prop</v>
          </cell>
          <cell r="BC375" t="str">
            <v>OpenMultiDk</v>
          </cell>
          <cell r="BD375" t="str">
            <v>DL-Prop</v>
          </cell>
          <cell r="BE375" t="str">
            <v>OpenMultiDk</v>
          </cell>
          <cell r="BF375" t="str">
            <v>DM-Prop</v>
          </cell>
          <cell r="BG375" t="str">
            <v>OpenMultiDk</v>
          </cell>
        </row>
        <row r="376">
          <cell r="A376" t="str">
            <v>C09</v>
          </cell>
          <cell r="C376" t="str">
            <v>MEAT COOLER</v>
          </cell>
          <cell r="D376" t="str">
            <v>18X22X10</v>
          </cell>
          <cell r="E376" t="str">
            <v>DoorCooler</v>
          </cell>
          <cell r="F376" t="str">
            <v>CM-Base</v>
          </cell>
          <cell r="G376" t="str">
            <v>(2) GL54E-175</v>
          </cell>
          <cell r="H376">
            <v>0</v>
          </cell>
          <cell r="I376">
            <v>0</v>
          </cell>
          <cell r="J376">
            <v>20</v>
          </cell>
          <cell r="K376">
            <v>25</v>
          </cell>
          <cell r="L376" t="str">
            <v/>
          </cell>
          <cell r="M376">
            <v>0</v>
          </cell>
          <cell r="N376">
            <v>504</v>
          </cell>
          <cell r="O376">
            <v>0</v>
          </cell>
          <cell r="P376">
            <v>8000</v>
          </cell>
          <cell r="Q376" t="str">
            <v>C05</v>
          </cell>
          <cell r="S376" t="str">
            <v>Service Seafood</v>
          </cell>
          <cell r="T376">
            <v>14</v>
          </cell>
          <cell r="U376" t="str">
            <v>DoorSglDk</v>
          </cell>
          <cell r="V376" t="str">
            <v>CM-Prop</v>
          </cell>
          <cell r="W376" t="str">
            <v>DSF/DSF1</v>
          </cell>
          <cell r="X376">
            <v>0</v>
          </cell>
          <cell r="Y376">
            <v>0</v>
          </cell>
          <cell r="Z376">
            <v>20</v>
          </cell>
          <cell r="AA376">
            <v>7.4</v>
          </cell>
          <cell r="AB376">
            <v>0.52857142857142858</v>
          </cell>
          <cell r="AC376">
            <v>0</v>
          </cell>
          <cell r="AD376">
            <v>156</v>
          </cell>
          <cell r="AE376">
            <v>216</v>
          </cell>
          <cell r="AF376">
            <v>0</v>
          </cell>
        </row>
        <row r="377">
          <cell r="A377" t="str">
            <v>C07</v>
          </cell>
          <cell r="C377" t="str">
            <v>Cake</v>
          </cell>
          <cell r="D377">
            <v>6</v>
          </cell>
          <cell r="E377" t="str">
            <v>DoorMultiDk</v>
          </cell>
          <cell r="F377" t="str">
            <v>CM-Base</v>
          </cell>
          <cell r="G377" t="str">
            <v>DL2RI</v>
          </cell>
          <cell r="H377">
            <v>0</v>
          </cell>
          <cell r="I377">
            <v>0</v>
          </cell>
          <cell r="J377">
            <v>20</v>
          </cell>
          <cell r="K377">
            <v>3.9</v>
          </cell>
          <cell r="L377">
            <v>0.65</v>
          </cell>
          <cell r="M377">
            <v>0</v>
          </cell>
          <cell r="N377">
            <v>360</v>
          </cell>
          <cell r="O377">
            <v>0</v>
          </cell>
          <cell r="P377">
            <v>0</v>
          </cell>
          <cell r="Q377" t="str">
            <v>C02 03</v>
          </cell>
          <cell r="S377" t="str">
            <v>Sushi cooler</v>
          </cell>
          <cell r="T377">
            <v>12</v>
          </cell>
          <cell r="U377" t="str">
            <v>OpenMultiDk</v>
          </cell>
          <cell r="V377" t="str">
            <v>CM-Prop</v>
          </cell>
          <cell r="W377" t="str">
            <v>T-49</v>
          </cell>
          <cell r="X377">
            <v>5.0894999999999992</v>
          </cell>
          <cell r="Y377">
            <v>0.76049999999999995</v>
          </cell>
          <cell r="Z377" t="str">
            <v>na</v>
          </cell>
          <cell r="AA377">
            <v>7.8</v>
          </cell>
          <cell r="AB377">
            <v>0.65</v>
          </cell>
          <cell r="AC377">
            <v>0</v>
          </cell>
          <cell r="AD377">
            <v>720</v>
          </cell>
          <cell r="AE377">
            <v>0</v>
          </cell>
          <cell r="AF377">
            <v>0</v>
          </cell>
        </row>
        <row r="378">
          <cell r="A378" t="str">
            <v>C10</v>
          </cell>
          <cell r="C378" t="str">
            <v>Service deli top</v>
          </cell>
          <cell r="D378">
            <v>32</v>
          </cell>
          <cell r="E378" t="str">
            <v>DoorMultiDk</v>
          </cell>
          <cell r="F378" t="str">
            <v>CM-Base</v>
          </cell>
          <cell r="G378" t="str">
            <v>R3HVWD</v>
          </cell>
          <cell r="H378">
            <v>0</v>
          </cell>
          <cell r="I378">
            <v>0</v>
          </cell>
          <cell r="J378">
            <v>20</v>
          </cell>
          <cell r="K378">
            <v>18.600000000000001</v>
          </cell>
          <cell r="L378">
            <v>0.58125000000000004</v>
          </cell>
          <cell r="M378">
            <v>612</v>
          </cell>
          <cell r="N378">
            <v>1128</v>
          </cell>
          <cell r="O378">
            <v>0</v>
          </cell>
          <cell r="P378">
            <v>0</v>
          </cell>
          <cell r="Q378" t="str">
            <v>C07</v>
          </cell>
          <cell r="S378" t="str">
            <v>Cake</v>
          </cell>
          <cell r="T378">
            <v>6</v>
          </cell>
          <cell r="U378" t="str">
            <v>OpenMultiDk</v>
          </cell>
          <cell r="V378" t="str">
            <v>CM-Prop</v>
          </cell>
          <cell r="W378" t="str">
            <v>DL2RI</v>
          </cell>
          <cell r="X378">
            <v>2.5447499999999996</v>
          </cell>
          <cell r="Y378">
            <v>0.38024999999999998</v>
          </cell>
          <cell r="Z378">
            <v>25</v>
          </cell>
          <cell r="AA378">
            <v>3.9</v>
          </cell>
          <cell r="AB378">
            <v>0.65</v>
          </cell>
          <cell r="AC378">
            <v>0</v>
          </cell>
          <cell r="AD378">
            <v>360</v>
          </cell>
          <cell r="AE378">
            <v>0</v>
          </cell>
          <cell r="AF378">
            <v>0</v>
          </cell>
        </row>
        <row r="379">
          <cell r="A379" t="str">
            <v>C11</v>
          </cell>
          <cell r="C379" t="str">
            <v>Service deli bot</v>
          </cell>
          <cell r="D379">
            <v>32</v>
          </cell>
          <cell r="E379" t="str">
            <v>DoorMultiDk</v>
          </cell>
          <cell r="F379" t="str">
            <v>CM-Base</v>
          </cell>
          <cell r="G379" t="str">
            <v>R3HVWD</v>
          </cell>
          <cell r="H379">
            <v>0</v>
          </cell>
          <cell r="I379">
            <v>0</v>
          </cell>
          <cell r="J379">
            <v>20</v>
          </cell>
          <cell r="K379">
            <v>24</v>
          </cell>
          <cell r="L379">
            <v>0.75</v>
          </cell>
          <cell r="M379">
            <v>612</v>
          </cell>
          <cell r="N379">
            <v>1128</v>
          </cell>
          <cell r="O379">
            <v>0</v>
          </cell>
          <cell r="P379">
            <v>0</v>
          </cell>
          <cell r="Q379" t="str">
            <v>C08</v>
          </cell>
          <cell r="S379" t="str">
            <v>CHEESE ISLAND</v>
          </cell>
          <cell r="T379">
            <v>12</v>
          </cell>
          <cell r="U379" t="str">
            <v>OpenMultiDk</v>
          </cell>
          <cell r="V379" t="str">
            <v>CM-Prop</v>
          </cell>
          <cell r="W379" t="str">
            <v>RI4</v>
          </cell>
          <cell r="X379">
            <v>17.291249999999998</v>
          </cell>
          <cell r="Y379">
            <v>2.5837500000000002</v>
          </cell>
          <cell r="Z379">
            <v>20</v>
          </cell>
          <cell r="AA379">
            <v>26.5</v>
          </cell>
          <cell r="AB379">
            <v>2.2083333333333335</v>
          </cell>
          <cell r="AC379">
            <v>296</v>
          </cell>
          <cell r="AD379">
            <v>180</v>
          </cell>
          <cell r="AE379">
            <v>0</v>
          </cell>
          <cell r="AF379">
            <v>0</v>
          </cell>
        </row>
        <row r="380">
          <cell r="A380" t="str">
            <v>C05</v>
          </cell>
          <cell r="C380" t="str">
            <v>Service Seafood</v>
          </cell>
          <cell r="D380">
            <v>14</v>
          </cell>
          <cell r="E380" t="str">
            <v>DoorSglDk</v>
          </cell>
          <cell r="F380" t="str">
            <v>CM-Base</v>
          </cell>
          <cell r="G380" t="str">
            <v>DSF/DSF1</v>
          </cell>
          <cell r="H380">
            <v>0</v>
          </cell>
          <cell r="I380">
            <v>0</v>
          </cell>
          <cell r="J380">
            <v>20</v>
          </cell>
          <cell r="K380">
            <v>7.4</v>
          </cell>
          <cell r="L380">
            <v>0.52857142857142858</v>
          </cell>
          <cell r="M380">
            <v>0</v>
          </cell>
          <cell r="N380">
            <v>156</v>
          </cell>
          <cell r="O380">
            <v>216</v>
          </cell>
          <cell r="P380">
            <v>0</v>
          </cell>
          <cell r="Q380" t="str">
            <v>C01</v>
          </cell>
          <cell r="S380" t="str">
            <v>MEAT PREP</v>
          </cell>
          <cell r="T380" t="str">
            <v>20x26x10</v>
          </cell>
          <cell r="U380" t="str">
            <v>DoorCooler</v>
          </cell>
          <cell r="V380" t="str">
            <v>CM-Prop</v>
          </cell>
          <cell r="W380" t="str">
            <v>(2) GL34A-105</v>
          </cell>
          <cell r="X380">
            <v>0</v>
          </cell>
          <cell r="Y380">
            <v>0</v>
          </cell>
          <cell r="Z380">
            <v>35</v>
          </cell>
          <cell r="AA380">
            <v>27.3</v>
          </cell>
          <cell r="AB380" t="str">
            <v/>
          </cell>
          <cell r="AC380">
            <v>0</v>
          </cell>
          <cell r="AD380">
            <v>288</v>
          </cell>
          <cell r="AE380">
            <v>0</v>
          </cell>
          <cell r="AF380">
            <v>0</v>
          </cell>
        </row>
        <row r="381">
          <cell r="A381" t="str">
            <v>C02 03</v>
          </cell>
          <cell r="C381" t="str">
            <v>Sushi cooler</v>
          </cell>
          <cell r="D381">
            <v>12</v>
          </cell>
          <cell r="E381" t="str">
            <v>OpenMultiDk</v>
          </cell>
          <cell r="F381" t="str">
            <v>CM-Base</v>
          </cell>
          <cell r="G381" t="str">
            <v>T-49</v>
          </cell>
          <cell r="H381">
            <v>5.0894999999999992</v>
          </cell>
          <cell r="I381">
            <v>0.76049999999999995</v>
          </cell>
          <cell r="J381">
            <v>20</v>
          </cell>
          <cell r="K381">
            <v>7.8</v>
          </cell>
          <cell r="L381">
            <v>0.65</v>
          </cell>
          <cell r="M381">
            <v>0</v>
          </cell>
          <cell r="N381">
            <v>720</v>
          </cell>
          <cell r="O381">
            <v>0</v>
          </cell>
          <cell r="P381">
            <v>0</v>
          </cell>
          <cell r="Q381" t="str">
            <v>C04</v>
          </cell>
          <cell r="S381" t="str">
            <v>BAKERY COOLER</v>
          </cell>
          <cell r="T381" t="str">
            <v>8X10X10</v>
          </cell>
          <cell r="U381" t="str">
            <v>DoorCooler</v>
          </cell>
          <cell r="V381" t="str">
            <v>CM-Prop</v>
          </cell>
          <cell r="W381" t="str">
            <v>KR26A-072</v>
          </cell>
          <cell r="X381">
            <v>0</v>
          </cell>
          <cell r="Y381">
            <v>0</v>
          </cell>
          <cell r="Z381">
            <v>24</v>
          </cell>
          <cell r="AA381">
            <v>7</v>
          </cell>
          <cell r="AB381" t="str">
            <v/>
          </cell>
          <cell r="AC381">
            <v>0</v>
          </cell>
          <cell r="AD381">
            <v>70</v>
          </cell>
          <cell r="AE381">
            <v>0</v>
          </cell>
          <cell r="AF381">
            <v>0</v>
          </cell>
        </row>
        <row r="382">
          <cell r="A382" t="str">
            <v>C08</v>
          </cell>
          <cell r="C382" t="str">
            <v>CHEESE ISLAND</v>
          </cell>
          <cell r="D382">
            <v>12</v>
          </cell>
          <cell r="E382" t="str">
            <v>OpenMultiDk</v>
          </cell>
          <cell r="F382" t="str">
            <v>CM-Base</v>
          </cell>
          <cell r="G382" t="str">
            <v>RI4</v>
          </cell>
          <cell r="H382">
            <v>17.943749999999998</v>
          </cell>
          <cell r="I382">
            <v>2.6812499999999999</v>
          </cell>
          <cell r="J382">
            <v>20</v>
          </cell>
          <cell r="K382">
            <v>27.5</v>
          </cell>
          <cell r="L382">
            <v>2.2916666666666665</v>
          </cell>
          <cell r="M382">
            <v>296</v>
          </cell>
          <cell r="N382">
            <v>500</v>
          </cell>
          <cell r="O382">
            <v>0</v>
          </cell>
          <cell r="P382">
            <v>0</v>
          </cell>
          <cell r="Q382" t="str">
            <v>C09</v>
          </cell>
          <cell r="S382" t="str">
            <v>MEAT COOLER</v>
          </cell>
          <cell r="T382" t="str">
            <v>18X22X10</v>
          </cell>
          <cell r="U382" t="str">
            <v>DoorCooler</v>
          </cell>
          <cell r="V382" t="str">
            <v>CM-Prop</v>
          </cell>
          <cell r="W382" t="str">
            <v>(2) GL54E-175</v>
          </cell>
          <cell r="X382">
            <v>0</v>
          </cell>
          <cell r="Y382">
            <v>0</v>
          </cell>
          <cell r="Z382">
            <v>20</v>
          </cell>
          <cell r="AA382">
            <v>25</v>
          </cell>
          <cell r="AB382" t="str">
            <v/>
          </cell>
          <cell r="AC382">
            <v>0</v>
          </cell>
          <cell r="AD382">
            <v>244</v>
          </cell>
          <cell r="AE382">
            <v>0</v>
          </cell>
          <cell r="AF382">
            <v>8000</v>
          </cell>
        </row>
        <row r="383">
          <cell r="A383" t="str">
            <v>D05</v>
          </cell>
          <cell r="C383" t="str">
            <v>DELI CHICKEN COOLER</v>
          </cell>
          <cell r="D383" t="str">
            <v>8X10X10</v>
          </cell>
          <cell r="E383" t="str">
            <v>DoorCooler</v>
          </cell>
          <cell r="F383" t="str">
            <v>DL-Base</v>
          </cell>
          <cell r="G383" t="str">
            <v>KR26A-072</v>
          </cell>
          <cell r="H383">
            <v>0</v>
          </cell>
          <cell r="I383">
            <v>0</v>
          </cell>
          <cell r="J383">
            <v>24</v>
          </cell>
          <cell r="K383">
            <v>7</v>
          </cell>
          <cell r="L383" t="str">
            <v/>
          </cell>
          <cell r="M383">
            <v>0</v>
          </cell>
          <cell r="N383">
            <v>148</v>
          </cell>
          <cell r="O383">
            <v>0</v>
          </cell>
          <cell r="P383">
            <v>0</v>
          </cell>
          <cell r="Q383" t="str">
            <v>D07</v>
          </cell>
          <cell r="S383" t="str">
            <v>Over Under</v>
          </cell>
          <cell r="T383">
            <v>12</v>
          </cell>
          <cell r="U383" t="str">
            <v>OpenMultiDk</v>
          </cell>
          <cell r="V383" t="str">
            <v>DL-Prop</v>
          </cell>
          <cell r="W383" t="str">
            <v>HVOU144RSS</v>
          </cell>
          <cell r="X383">
            <v>9.5917499999999993</v>
          </cell>
          <cell r="Y383">
            <v>1.4332499999999999</v>
          </cell>
          <cell r="Z383">
            <v>21</v>
          </cell>
          <cell r="AA383">
            <v>14.7</v>
          </cell>
          <cell r="AB383">
            <v>1.2249999999999999</v>
          </cell>
          <cell r="AC383">
            <v>0</v>
          </cell>
          <cell r="AD383">
            <v>1296</v>
          </cell>
          <cell r="AE383">
            <v>0</v>
          </cell>
          <cell r="AF383">
            <v>0</v>
          </cell>
        </row>
        <row r="384">
          <cell r="A384" t="str">
            <v>D06</v>
          </cell>
          <cell r="C384" t="str">
            <v>DELI COOLER</v>
          </cell>
          <cell r="D384" t="str">
            <v>10X16X10</v>
          </cell>
          <cell r="E384" t="str">
            <v>DoorCooler</v>
          </cell>
          <cell r="F384" t="str">
            <v>DL-Base</v>
          </cell>
          <cell r="G384" t="str">
            <v>KR26A-125</v>
          </cell>
          <cell r="H384">
            <v>0</v>
          </cell>
          <cell r="I384">
            <v>0</v>
          </cell>
          <cell r="J384">
            <v>24</v>
          </cell>
          <cell r="K384">
            <v>11.7</v>
          </cell>
          <cell r="L384" t="str">
            <v/>
          </cell>
          <cell r="M384">
            <v>0</v>
          </cell>
          <cell r="N384">
            <v>148</v>
          </cell>
          <cell r="O384">
            <v>0</v>
          </cell>
          <cell r="P384">
            <v>0</v>
          </cell>
          <cell r="Q384" t="str">
            <v>ID not known</v>
          </cell>
          <cell r="S384" t="str">
            <v>M D Bev</v>
          </cell>
          <cell r="T384">
            <v>5.5</v>
          </cell>
          <cell r="U384" t="str">
            <v>OpenMultiDk</v>
          </cell>
          <cell r="V384" t="str">
            <v>DL-Prop</v>
          </cell>
          <cell r="W384" t="str">
            <v>IM04-E5-R</v>
          </cell>
          <cell r="X384">
            <v>3.7192499999999997</v>
          </cell>
          <cell r="Y384">
            <v>0.55575000000000008</v>
          </cell>
          <cell r="Z384">
            <v>24</v>
          </cell>
          <cell r="AA384">
            <v>5.7</v>
          </cell>
          <cell r="AB384">
            <v>1.0363636363636364</v>
          </cell>
        </row>
        <row r="385">
          <cell r="A385" t="str">
            <v>D07</v>
          </cell>
          <cell r="C385" t="str">
            <v>Over Under</v>
          </cell>
          <cell r="D385">
            <v>12</v>
          </cell>
          <cell r="E385" t="str">
            <v>OpenMultiDk</v>
          </cell>
          <cell r="F385" t="str">
            <v>DL-Base</v>
          </cell>
          <cell r="G385" t="str">
            <v>HVOU144RSS</v>
          </cell>
          <cell r="H385">
            <v>9.5917499999999993</v>
          </cell>
          <cell r="I385">
            <v>1.4332499999999999</v>
          </cell>
          <cell r="J385">
            <v>21</v>
          </cell>
          <cell r="K385">
            <v>14.7</v>
          </cell>
          <cell r="L385">
            <v>1.2249999999999999</v>
          </cell>
          <cell r="M385">
            <v>0</v>
          </cell>
          <cell r="N385">
            <v>1296</v>
          </cell>
          <cell r="O385">
            <v>0</v>
          </cell>
          <cell r="P385">
            <v>0</v>
          </cell>
          <cell r="Q385" t="str">
            <v>D01</v>
          </cell>
          <cell r="S385" t="str">
            <v>Salad bar</v>
          </cell>
          <cell r="T385">
            <v>15</v>
          </cell>
          <cell r="U385" t="str">
            <v>OpenSglDeck</v>
          </cell>
          <cell r="V385" t="str">
            <v>DL-Prop</v>
          </cell>
          <cell r="W385" t="str">
            <v>AMTEKO</v>
          </cell>
          <cell r="X385">
            <v>13.571999999999999</v>
          </cell>
          <cell r="Y385">
            <v>2.028</v>
          </cell>
          <cell r="Z385" t="str">
            <v>na</v>
          </cell>
          <cell r="AA385">
            <v>20.8</v>
          </cell>
          <cell r="AB385">
            <v>1.3866666666666667</v>
          </cell>
          <cell r="AC385">
            <v>936</v>
          </cell>
          <cell r="AD385">
            <v>480</v>
          </cell>
          <cell r="AE385">
            <v>0</v>
          </cell>
          <cell r="AF385">
            <v>0</v>
          </cell>
        </row>
        <row r="386">
          <cell r="A386" t="str">
            <v>D01</v>
          </cell>
          <cell r="C386" t="str">
            <v>Salad bar</v>
          </cell>
          <cell r="D386">
            <v>15</v>
          </cell>
          <cell r="E386" t="str">
            <v>OpenSglDeck</v>
          </cell>
          <cell r="F386" t="str">
            <v>DL-Base</v>
          </cell>
          <cell r="G386" t="str">
            <v>AMTEKO</v>
          </cell>
          <cell r="H386">
            <v>13.571999999999999</v>
          </cell>
          <cell r="I386">
            <v>2.028</v>
          </cell>
          <cell r="J386" t="str">
            <v>na</v>
          </cell>
          <cell r="K386">
            <v>20.8</v>
          </cell>
          <cell r="L386">
            <v>1.3866666666666667</v>
          </cell>
          <cell r="M386">
            <v>936</v>
          </cell>
          <cell r="N386">
            <v>480</v>
          </cell>
          <cell r="O386">
            <v>0</v>
          </cell>
          <cell r="P386">
            <v>0</v>
          </cell>
          <cell r="Q386" t="str">
            <v>D03</v>
          </cell>
          <cell r="S386" t="str">
            <v>PRODUCE ISLAND</v>
          </cell>
          <cell r="T386">
            <v>6</v>
          </cell>
          <cell r="U386" t="str">
            <v>OpenSglDeck</v>
          </cell>
          <cell r="V386" t="str">
            <v>DL-Prop</v>
          </cell>
          <cell r="W386" t="str">
            <v>(1)1PW/(2)PWEE</v>
          </cell>
          <cell r="X386">
            <v>8.0257500000000004</v>
          </cell>
          <cell r="Y386">
            <v>1.1992500000000001</v>
          </cell>
          <cell r="Z386">
            <v>21</v>
          </cell>
          <cell r="AA386">
            <v>12.3</v>
          </cell>
          <cell r="AB386">
            <v>2.0500000000000003</v>
          </cell>
          <cell r="AC386">
            <v>0</v>
          </cell>
          <cell r="AD386">
            <v>50</v>
          </cell>
          <cell r="AE386">
            <v>0</v>
          </cell>
          <cell r="AF386">
            <v>0</v>
          </cell>
        </row>
        <row r="387">
          <cell r="A387" t="str">
            <v>D03</v>
          </cell>
          <cell r="C387" t="str">
            <v>PRODUCE ISLAND</v>
          </cell>
          <cell r="D387">
            <v>6</v>
          </cell>
          <cell r="E387" t="str">
            <v>OpenSglDeck</v>
          </cell>
          <cell r="F387" t="str">
            <v>DL-Base</v>
          </cell>
          <cell r="G387" t="str">
            <v>(1)1PW/(2)PWEE</v>
          </cell>
          <cell r="H387">
            <v>8.0257500000000004</v>
          </cell>
          <cell r="I387">
            <v>1.1992500000000001</v>
          </cell>
          <cell r="J387">
            <v>21</v>
          </cell>
          <cell r="K387">
            <v>12.3</v>
          </cell>
          <cell r="L387">
            <v>2.0500000000000003</v>
          </cell>
          <cell r="M387">
            <v>0</v>
          </cell>
          <cell r="N387">
            <v>124</v>
          </cell>
          <cell r="O387">
            <v>0</v>
          </cell>
          <cell r="P387">
            <v>0</v>
          </cell>
          <cell r="Q387" t="str">
            <v>D04</v>
          </cell>
          <cell r="S387" t="str">
            <v>PRODUCE ISLAND</v>
          </cell>
          <cell r="T387">
            <v>6</v>
          </cell>
          <cell r="U387" t="str">
            <v>OpenSglDeck</v>
          </cell>
          <cell r="V387" t="str">
            <v>DL-Prop</v>
          </cell>
          <cell r="W387" t="str">
            <v>(1)1PW/(2)PWEE</v>
          </cell>
          <cell r="X387">
            <v>8.0257500000000004</v>
          </cell>
          <cell r="Y387">
            <v>1.1992500000000001</v>
          </cell>
          <cell r="Z387">
            <v>21</v>
          </cell>
          <cell r="AA387">
            <v>12.3</v>
          </cell>
          <cell r="AB387">
            <v>2.0500000000000003</v>
          </cell>
          <cell r="AC387">
            <v>0</v>
          </cell>
          <cell r="AD387">
            <v>50</v>
          </cell>
          <cell r="AE387">
            <v>0</v>
          </cell>
          <cell r="AF387">
            <v>0</v>
          </cell>
        </row>
        <row r="388">
          <cell r="A388" t="str">
            <v>D04</v>
          </cell>
          <cell r="C388" t="str">
            <v>PRODUCE ISLAND</v>
          </cell>
          <cell r="D388">
            <v>6</v>
          </cell>
          <cell r="E388" t="str">
            <v>OpenSglDeck</v>
          </cell>
          <cell r="F388" t="str">
            <v>DL-Base</v>
          </cell>
          <cell r="G388" t="str">
            <v>(1)1PW/(2)PWEE</v>
          </cell>
          <cell r="H388">
            <v>8.0257500000000004</v>
          </cell>
          <cell r="I388">
            <v>1.1992500000000001</v>
          </cell>
          <cell r="J388">
            <v>21</v>
          </cell>
          <cell r="K388">
            <v>12.3</v>
          </cell>
          <cell r="L388">
            <v>2.0500000000000003</v>
          </cell>
          <cell r="M388">
            <v>0</v>
          </cell>
          <cell r="N388">
            <v>124</v>
          </cell>
          <cell r="O388">
            <v>0</v>
          </cell>
          <cell r="P388">
            <v>0</v>
          </cell>
          <cell r="Q388" t="str">
            <v>D08</v>
          </cell>
          <cell r="S388" t="str">
            <v>Grab N Go</v>
          </cell>
          <cell r="T388">
            <v>20</v>
          </cell>
          <cell r="U388" t="str">
            <v>OpenSglDeck</v>
          </cell>
          <cell r="V388" t="str">
            <v>DL-Prop</v>
          </cell>
          <cell r="W388" t="str">
            <v>(2)IM04-C6,(2)IMO4E5-R</v>
          </cell>
          <cell r="X388">
            <v>13.637249999999998</v>
          </cell>
          <cell r="Y388">
            <v>2.03775</v>
          </cell>
          <cell r="Z388">
            <v>24</v>
          </cell>
          <cell r="AA388">
            <v>20.9</v>
          </cell>
          <cell r="AB388">
            <v>1.0449999999999999</v>
          </cell>
          <cell r="AC388">
            <v>684</v>
          </cell>
          <cell r="AD388">
            <v>444</v>
          </cell>
          <cell r="AE388">
            <v>0</v>
          </cell>
          <cell r="AF388">
            <v>0</v>
          </cell>
        </row>
        <row r="389">
          <cell r="A389" t="str">
            <v>D08</v>
          </cell>
          <cell r="C389" t="str">
            <v>Grab N Go</v>
          </cell>
          <cell r="D389">
            <v>20</v>
          </cell>
          <cell r="E389" t="str">
            <v>OpenSglDeck</v>
          </cell>
          <cell r="F389" t="str">
            <v>DL-Base</v>
          </cell>
          <cell r="G389" t="str">
            <v>(2)IM04-C6,(2)IMO4E5-R</v>
          </cell>
          <cell r="H389">
            <v>13.637249999999998</v>
          </cell>
          <cell r="I389">
            <v>2.03775</v>
          </cell>
          <cell r="J389">
            <v>24</v>
          </cell>
          <cell r="K389">
            <v>20.9</v>
          </cell>
          <cell r="L389">
            <v>1.0449999999999999</v>
          </cell>
          <cell r="M389">
            <v>684</v>
          </cell>
          <cell r="N389">
            <v>444</v>
          </cell>
          <cell r="O389">
            <v>0</v>
          </cell>
          <cell r="P389">
            <v>0</v>
          </cell>
          <cell r="Q389" t="str">
            <v>D09</v>
          </cell>
          <cell r="S389" t="str">
            <v>Seafood</v>
          </cell>
          <cell r="T389">
            <v>4</v>
          </cell>
          <cell r="U389" t="str">
            <v>OpenSglDeck</v>
          </cell>
          <cell r="V389" t="str">
            <v>DL-Prop</v>
          </cell>
          <cell r="W389" t="str">
            <v>C2XXLEP</v>
          </cell>
          <cell r="X389">
            <v>2.4794999999999998</v>
          </cell>
          <cell r="Y389">
            <v>0.3705</v>
          </cell>
          <cell r="Z389">
            <v>25</v>
          </cell>
          <cell r="AA389">
            <v>3.8</v>
          </cell>
          <cell r="AB389">
            <v>0.95</v>
          </cell>
          <cell r="AC389">
            <v>68</v>
          </cell>
          <cell r="AD389">
            <v>14</v>
          </cell>
          <cell r="AE389">
            <v>0</v>
          </cell>
          <cell r="AF389">
            <v>0</v>
          </cell>
        </row>
        <row r="390">
          <cell r="A390" t="str">
            <v>D09</v>
          </cell>
          <cell r="C390" t="str">
            <v>Seafood</v>
          </cell>
          <cell r="D390">
            <v>4</v>
          </cell>
          <cell r="E390" t="str">
            <v>OpenSglDeck</v>
          </cell>
          <cell r="F390" t="str">
            <v>DL-Base</v>
          </cell>
          <cell r="G390" t="str">
            <v>C2XXLEP</v>
          </cell>
          <cell r="H390">
            <v>3.1972499999999999</v>
          </cell>
          <cell r="I390">
            <v>0.47775000000000006</v>
          </cell>
          <cell r="J390">
            <v>21</v>
          </cell>
          <cell r="K390">
            <v>4.9000000000000004</v>
          </cell>
          <cell r="L390">
            <v>1.2250000000000001</v>
          </cell>
          <cell r="M390">
            <v>68</v>
          </cell>
          <cell r="N390">
            <v>14</v>
          </cell>
          <cell r="O390">
            <v>0</v>
          </cell>
          <cell r="P390">
            <v>0</v>
          </cell>
          <cell r="Q390" t="str">
            <v>D05</v>
          </cell>
          <cell r="S390" t="str">
            <v>DELI CHICKEN COOLER</v>
          </cell>
          <cell r="T390" t="str">
            <v>8X10X10</v>
          </cell>
          <cell r="U390" t="str">
            <v>DoorCooler</v>
          </cell>
          <cell r="V390" t="str">
            <v>DL-Prop</v>
          </cell>
          <cell r="W390" t="str">
            <v>KR26A-072</v>
          </cell>
          <cell r="X390">
            <v>0</v>
          </cell>
          <cell r="Y390">
            <v>0</v>
          </cell>
          <cell r="Z390">
            <v>24</v>
          </cell>
          <cell r="AA390">
            <v>7</v>
          </cell>
          <cell r="AB390" t="str">
            <v/>
          </cell>
          <cell r="AC390">
            <v>0</v>
          </cell>
          <cell r="AD390">
            <v>70</v>
          </cell>
          <cell r="AE390">
            <v>0</v>
          </cell>
          <cell r="AF390">
            <v>0</v>
          </cell>
        </row>
        <row r="391">
          <cell r="A391" t="str">
            <v>D13</v>
          </cell>
          <cell r="C391" t="str">
            <v>PRODUCE COOLER</v>
          </cell>
          <cell r="D391" t="str">
            <v>16X26X10</v>
          </cell>
          <cell r="E391" t="str">
            <v>DoorCooler</v>
          </cell>
          <cell r="F391" t="str">
            <v>DM-Base</v>
          </cell>
          <cell r="G391" t="str">
            <v>(2) GL54A-175</v>
          </cell>
          <cell r="H391">
            <v>0</v>
          </cell>
          <cell r="I391">
            <v>0</v>
          </cell>
          <cell r="J391">
            <v>32</v>
          </cell>
          <cell r="K391">
            <v>22.6</v>
          </cell>
          <cell r="L391" t="str">
            <v/>
          </cell>
          <cell r="M391">
            <v>0</v>
          </cell>
          <cell r="N391">
            <v>722</v>
          </cell>
          <cell r="O391">
            <v>0</v>
          </cell>
          <cell r="P391">
            <v>0</v>
          </cell>
          <cell r="Q391" t="str">
            <v>D06</v>
          </cell>
          <cell r="S391" t="str">
            <v>DELI COOLER</v>
          </cell>
          <cell r="T391" t="str">
            <v>10X16X10</v>
          </cell>
          <cell r="U391" t="str">
            <v>DoorCooler</v>
          </cell>
          <cell r="V391" t="str">
            <v>DL-Prop</v>
          </cell>
          <cell r="W391" t="str">
            <v>KR26A-125</v>
          </cell>
          <cell r="X391">
            <v>0</v>
          </cell>
          <cell r="Y391">
            <v>0</v>
          </cell>
          <cell r="Z391">
            <v>24</v>
          </cell>
          <cell r="AA391">
            <v>11.7</v>
          </cell>
          <cell r="AB391" t="str">
            <v/>
          </cell>
          <cell r="AC391">
            <v>0</v>
          </cell>
          <cell r="AD391">
            <v>70</v>
          </cell>
          <cell r="AE391">
            <v>0</v>
          </cell>
          <cell r="AF391">
            <v>0</v>
          </cell>
        </row>
        <row r="392">
          <cell r="A392" t="str">
            <v>D14</v>
          </cell>
          <cell r="C392" t="str">
            <v>Floral Case</v>
          </cell>
          <cell r="D392">
            <v>4</v>
          </cell>
          <cell r="E392" t="str">
            <v>DoorMultiDk</v>
          </cell>
          <cell r="F392" t="str">
            <v>DM-Base</v>
          </cell>
          <cell r="G392" t="str">
            <v>???</v>
          </cell>
          <cell r="H392">
            <v>0</v>
          </cell>
          <cell r="I392">
            <v>0</v>
          </cell>
          <cell r="J392">
            <v>35</v>
          </cell>
          <cell r="K392">
            <v>26.9</v>
          </cell>
          <cell r="L392">
            <v>6.7249999999999996</v>
          </cell>
          <cell r="M392">
            <v>0</v>
          </cell>
          <cell r="N392">
            <v>264</v>
          </cell>
          <cell r="O392">
            <v>0</v>
          </cell>
          <cell r="P392">
            <v>0</v>
          </cell>
          <cell r="Q392" t="str">
            <v>D13</v>
          </cell>
          <cell r="S392" t="str">
            <v>PRODUCE COOLER</v>
          </cell>
          <cell r="T392" t="str">
            <v>16X26X10</v>
          </cell>
          <cell r="U392" t="str">
            <v>DoorCooler</v>
          </cell>
          <cell r="V392" t="str">
            <v>DL-Prop</v>
          </cell>
          <cell r="W392" t="str">
            <v>(2) GL54A-175</v>
          </cell>
          <cell r="X392">
            <v>0</v>
          </cell>
          <cell r="Y392">
            <v>0</v>
          </cell>
          <cell r="Z392">
            <v>32</v>
          </cell>
          <cell r="AA392">
            <v>22.6</v>
          </cell>
          <cell r="AB392" t="str">
            <v/>
          </cell>
          <cell r="AC392">
            <v>0</v>
          </cell>
          <cell r="AD392">
            <v>482</v>
          </cell>
          <cell r="AE392">
            <v>0</v>
          </cell>
          <cell r="AF392">
            <v>0</v>
          </cell>
        </row>
        <row r="393">
          <cell r="A393" t="str">
            <v>D10</v>
          </cell>
          <cell r="C393" t="str">
            <v>PRODUCE</v>
          </cell>
          <cell r="D393">
            <v>32</v>
          </cell>
          <cell r="E393" t="str">
            <v>OpenMultiDk</v>
          </cell>
          <cell r="F393" t="str">
            <v>DM-Base</v>
          </cell>
          <cell r="G393" t="str">
            <v>P4XE</v>
          </cell>
          <cell r="H393">
            <v>30.380400000000002</v>
          </cell>
          <cell r="I393">
            <v>4.5396000000000001</v>
          </cell>
          <cell r="J393">
            <v>24</v>
          </cell>
          <cell r="K393">
            <v>46.56</v>
          </cell>
          <cell r="L393">
            <v>1.4550000000000001</v>
          </cell>
          <cell r="M393">
            <v>458</v>
          </cell>
          <cell r="N393">
            <v>720</v>
          </cell>
          <cell r="O393">
            <v>0</v>
          </cell>
          <cell r="P393">
            <v>0</v>
          </cell>
          <cell r="Q393" t="str">
            <v>D14</v>
          </cell>
          <cell r="S393" t="str">
            <v>Floral Cooler</v>
          </cell>
          <cell r="T393">
            <v>4</v>
          </cell>
          <cell r="U393" t="str">
            <v>DoorMultiDk</v>
          </cell>
          <cell r="V393" t="str">
            <v>DM-Prop</v>
          </cell>
          <cell r="W393" t="str">
            <v>???</v>
          </cell>
          <cell r="X393">
            <v>0</v>
          </cell>
          <cell r="Y393">
            <v>0</v>
          </cell>
          <cell r="Z393">
            <v>35</v>
          </cell>
          <cell r="AA393">
            <v>26.9</v>
          </cell>
          <cell r="AB393">
            <v>6.7249999999999996</v>
          </cell>
          <cell r="AC393">
            <v>0</v>
          </cell>
          <cell r="AD393">
            <v>264</v>
          </cell>
          <cell r="AE393">
            <v>0</v>
          </cell>
          <cell r="AF393">
            <v>0</v>
          </cell>
        </row>
        <row r="394">
          <cell r="A394" t="str">
            <v>D11</v>
          </cell>
          <cell r="C394" t="str">
            <v>PRODUCE</v>
          </cell>
          <cell r="D394">
            <v>20</v>
          </cell>
          <cell r="E394" t="str">
            <v>OpenMultiDk</v>
          </cell>
          <cell r="F394" t="str">
            <v>DM-Base</v>
          </cell>
          <cell r="G394" t="str">
            <v>P4XE</v>
          </cell>
          <cell r="H394">
            <v>18.987749999999998</v>
          </cell>
          <cell r="I394">
            <v>2.83725</v>
          </cell>
          <cell r="J394">
            <v>24</v>
          </cell>
          <cell r="K394">
            <v>29.1</v>
          </cell>
          <cell r="L394">
            <v>1.4550000000000001</v>
          </cell>
          <cell r="M394">
            <v>288</v>
          </cell>
          <cell r="N394">
            <v>450</v>
          </cell>
          <cell r="O394">
            <v>0</v>
          </cell>
          <cell r="P394">
            <v>0</v>
          </cell>
          <cell r="Q394" t="str">
            <v>D10</v>
          </cell>
          <cell r="S394" t="str">
            <v>PRODUCE</v>
          </cell>
          <cell r="T394">
            <v>32</v>
          </cell>
          <cell r="U394" t="str">
            <v>OpenMultiDk</v>
          </cell>
          <cell r="V394" t="str">
            <v>DM-Prop</v>
          </cell>
          <cell r="W394" t="str">
            <v>P4XEP</v>
          </cell>
          <cell r="X394">
            <v>25.662824999999998</v>
          </cell>
          <cell r="Y394">
            <v>3.8346749999999998</v>
          </cell>
          <cell r="Z394">
            <v>30</v>
          </cell>
          <cell r="AA394">
            <v>39.33</v>
          </cell>
          <cell r="AB394">
            <v>1.2290624999999999</v>
          </cell>
          <cell r="AC394">
            <v>262</v>
          </cell>
          <cell r="AD394">
            <v>288</v>
          </cell>
          <cell r="AE394">
            <v>0</v>
          </cell>
          <cell r="AF394">
            <v>0</v>
          </cell>
        </row>
        <row r="395">
          <cell r="A395" t="str">
            <v>D12</v>
          </cell>
          <cell r="C395" t="str">
            <v>PRODUCE</v>
          </cell>
          <cell r="D395">
            <v>28</v>
          </cell>
          <cell r="E395" t="str">
            <v>OpenMultiDk</v>
          </cell>
          <cell r="F395" t="str">
            <v>DM-Base</v>
          </cell>
          <cell r="G395" t="str">
            <v>P4XE</v>
          </cell>
          <cell r="H395">
            <v>26.582850000000001</v>
          </cell>
          <cell r="I395">
            <v>3.9721500000000005</v>
          </cell>
          <cell r="J395">
            <v>24</v>
          </cell>
          <cell r="K395">
            <v>40.74</v>
          </cell>
          <cell r="L395">
            <v>1.4550000000000001</v>
          </cell>
          <cell r="M395">
            <v>406</v>
          </cell>
          <cell r="N395">
            <v>630</v>
          </cell>
          <cell r="O395">
            <v>0</v>
          </cell>
          <cell r="P395">
            <v>0</v>
          </cell>
          <cell r="Q395" t="str">
            <v>D11</v>
          </cell>
          <cell r="S395" t="str">
            <v>PRODUCE</v>
          </cell>
          <cell r="T395">
            <v>20</v>
          </cell>
          <cell r="U395" t="str">
            <v>OpenMultiDk</v>
          </cell>
          <cell r="V395" t="str">
            <v>DM-Prop</v>
          </cell>
          <cell r="W395" t="str">
            <v>P4XEP</v>
          </cell>
          <cell r="X395">
            <v>16.038449999999997</v>
          </cell>
          <cell r="Y395">
            <v>2.39655</v>
          </cell>
          <cell r="Z395">
            <v>30</v>
          </cell>
          <cell r="AA395">
            <v>24.58</v>
          </cell>
          <cell r="AB395">
            <v>1.2289999999999999</v>
          </cell>
          <cell r="AC395">
            <v>164</v>
          </cell>
          <cell r="AD395">
            <v>180</v>
          </cell>
          <cell r="AE395">
            <v>0</v>
          </cell>
          <cell r="AF395">
            <v>0</v>
          </cell>
        </row>
        <row r="396">
          <cell r="A396" t="str">
            <v>D15</v>
          </cell>
          <cell r="C396" t="str">
            <v>COLD BEER</v>
          </cell>
          <cell r="D396">
            <v>24</v>
          </cell>
          <cell r="E396" t="str">
            <v>OpenMultiDk</v>
          </cell>
          <cell r="F396" t="str">
            <v>DM-Base</v>
          </cell>
          <cell r="G396" t="str">
            <v>D6XULEP</v>
          </cell>
          <cell r="H396">
            <v>25.251750000000001</v>
          </cell>
          <cell r="I396">
            <v>3.7732500000000004</v>
          </cell>
          <cell r="J396">
            <v>28</v>
          </cell>
          <cell r="K396">
            <v>38.700000000000003</v>
          </cell>
          <cell r="L396">
            <v>1.6125</v>
          </cell>
          <cell r="M396">
            <v>340</v>
          </cell>
          <cell r="N396">
            <v>600</v>
          </cell>
          <cell r="O396">
            <v>0</v>
          </cell>
          <cell r="P396">
            <v>0</v>
          </cell>
          <cell r="Q396" t="str">
            <v>D12</v>
          </cell>
          <cell r="S396" t="str">
            <v>PRODUCE</v>
          </cell>
          <cell r="T396">
            <v>28</v>
          </cell>
          <cell r="U396" t="str">
            <v>OpenMultiDk</v>
          </cell>
          <cell r="V396" t="str">
            <v>DM-Prop</v>
          </cell>
          <cell r="W396" t="str">
            <v>P4XEP</v>
          </cell>
          <cell r="X396">
            <v>22.452524999999998</v>
          </cell>
          <cell r="Y396">
            <v>3.3549749999999996</v>
          </cell>
          <cell r="Z396">
            <v>30</v>
          </cell>
          <cell r="AA396">
            <v>34.409999999999997</v>
          </cell>
          <cell r="AB396">
            <v>1.2289285714285714</v>
          </cell>
          <cell r="AC396">
            <v>230</v>
          </cell>
          <cell r="AD396">
            <v>252</v>
          </cell>
          <cell r="AE396">
            <v>0</v>
          </cell>
          <cell r="AF396">
            <v>0</v>
          </cell>
        </row>
        <row r="397">
          <cell r="A397" t="str">
            <v>D16</v>
          </cell>
          <cell r="C397" t="str">
            <v>COLD BEER</v>
          </cell>
          <cell r="D397">
            <v>16</v>
          </cell>
          <cell r="E397" t="str">
            <v>OpenMultiDk</v>
          </cell>
          <cell r="F397" t="str">
            <v>DM-Base</v>
          </cell>
          <cell r="G397" t="str">
            <v>D6XULEP</v>
          </cell>
          <cell r="H397">
            <v>16.834499999999998</v>
          </cell>
          <cell r="I397">
            <v>2.5155000000000003</v>
          </cell>
          <cell r="J397">
            <v>28</v>
          </cell>
          <cell r="K397">
            <v>25.8</v>
          </cell>
          <cell r="L397">
            <v>1.6125</v>
          </cell>
          <cell r="M397">
            <v>236</v>
          </cell>
          <cell r="N397">
            <v>400</v>
          </cell>
          <cell r="O397">
            <v>0</v>
          </cell>
          <cell r="P397">
            <v>0</v>
          </cell>
          <cell r="Q397" t="str">
            <v>D15</v>
          </cell>
          <cell r="S397" t="str">
            <v>COLD BEER</v>
          </cell>
          <cell r="T397">
            <v>24</v>
          </cell>
          <cell r="U397" t="str">
            <v>OpenMultiDk</v>
          </cell>
          <cell r="V397" t="str">
            <v>DM-Prop</v>
          </cell>
          <cell r="W397" t="str">
            <v>D6XULEP</v>
          </cell>
          <cell r="X397">
            <v>25.251750000000001</v>
          </cell>
          <cell r="Y397">
            <v>3.7732500000000004</v>
          </cell>
          <cell r="Z397">
            <v>28</v>
          </cell>
          <cell r="AA397">
            <v>38.700000000000003</v>
          </cell>
          <cell r="AB397">
            <v>1.6125</v>
          </cell>
          <cell r="AC397">
            <v>196</v>
          </cell>
          <cell r="AD397">
            <v>216</v>
          </cell>
          <cell r="AE397">
            <v>0</v>
          </cell>
          <cell r="AF397">
            <v>0</v>
          </cell>
        </row>
        <row r="398">
          <cell r="A398" t="str">
            <v>ID not known</v>
          </cell>
          <cell r="C398" t="str">
            <v>M D Bev</v>
          </cell>
          <cell r="D398">
            <v>5.5</v>
          </cell>
          <cell r="E398" t="str">
            <v>OpenMultiDk</v>
          </cell>
          <cell r="F398" t="str">
            <v>DM-Base</v>
          </cell>
          <cell r="G398" t="str">
            <v>IM04-E5-R</v>
          </cell>
          <cell r="H398">
            <v>3.7192499999999997</v>
          </cell>
          <cell r="I398">
            <v>0.55575000000000008</v>
          </cell>
          <cell r="J398">
            <v>24</v>
          </cell>
          <cell r="K398">
            <v>5.7</v>
          </cell>
          <cell r="L398">
            <v>1.0363636363636364</v>
          </cell>
          <cell r="Q398" t="str">
            <v>D16</v>
          </cell>
          <cell r="S398" t="str">
            <v>COLD BEER</v>
          </cell>
          <cell r="T398">
            <v>16</v>
          </cell>
          <cell r="U398" t="str">
            <v>OpenMultiDk</v>
          </cell>
          <cell r="V398" t="str">
            <v>DM-Prop</v>
          </cell>
          <cell r="W398" t="str">
            <v>D6XULEP</v>
          </cell>
          <cell r="X398">
            <v>17.552249999999997</v>
          </cell>
          <cell r="Y398">
            <v>2.6227499999999999</v>
          </cell>
          <cell r="Z398">
            <v>28</v>
          </cell>
          <cell r="AA398">
            <v>26.9</v>
          </cell>
          <cell r="AB398">
            <v>1.6812499999999999</v>
          </cell>
          <cell r="AC398">
            <v>144</v>
          </cell>
          <cell r="AD398">
            <v>144</v>
          </cell>
          <cell r="AE398">
            <v>0</v>
          </cell>
          <cell r="AF398">
            <v>0</v>
          </cell>
        </row>
        <row r="399">
          <cell r="H399">
            <v>425.44305000000003</v>
          </cell>
          <cell r="I399">
            <v>63.571949999999994</v>
          </cell>
          <cell r="K399">
            <v>1082.4199999999996</v>
          </cell>
          <cell r="M399">
            <v>18372</v>
          </cell>
          <cell r="N399">
            <v>25142</v>
          </cell>
          <cell r="O399">
            <v>17943</v>
          </cell>
          <cell r="X399">
            <v>397.61392499999994</v>
          </cell>
          <cell r="Y399">
            <v>59.413574999999994</v>
          </cell>
          <cell r="AA399">
            <v>1026.77</v>
          </cell>
          <cell r="AC399">
            <v>8688</v>
          </cell>
          <cell r="AD399">
            <v>18445</v>
          </cell>
          <cell r="AE399">
            <v>17943</v>
          </cell>
        </row>
        <row r="400">
          <cell r="C400">
            <v>56</v>
          </cell>
          <cell r="Z400" t="str">
            <v>Reduction</v>
          </cell>
          <cell r="AA400">
            <v>5.1412575525211723E-2</v>
          </cell>
          <cell r="AC400">
            <v>0.52710646636185499</v>
          </cell>
          <cell r="AD400">
            <v>0.26636703523983774</v>
          </cell>
        </row>
        <row r="401">
          <cell r="A401" t="str">
            <v>Casework Style Notes:</v>
          </cell>
        </row>
        <row r="402">
          <cell r="A402" t="str">
            <v>OpenSglDeck</v>
          </cell>
          <cell r="C402" t="str">
            <v>Open Single Deck / Chest</v>
          </cell>
        </row>
        <row r="403">
          <cell r="A403" t="str">
            <v>OpenMultiDk</v>
          </cell>
          <cell r="C403" t="str">
            <v>Open Multi-Deck</v>
          </cell>
        </row>
        <row r="404">
          <cell r="A404" t="str">
            <v>DoorSglDk</v>
          </cell>
          <cell r="C404" t="str">
            <v>Doors (operable)</v>
          </cell>
        </row>
        <row r="405">
          <cell r="A405" t="str">
            <v>DoorMultiDk</v>
          </cell>
          <cell r="C405" t="str">
            <v>Doors (operable)</v>
          </cell>
        </row>
        <row r="406">
          <cell r="A406" t="str">
            <v>DoorCooler</v>
          </cell>
          <cell r="C406" t="str">
            <v>"Z" precedes name to make it sort last</v>
          </cell>
        </row>
        <row r="407">
          <cell r="A407" t="str">
            <v>DoorFreezer</v>
          </cell>
          <cell r="C407" t="str">
            <v>"Z" precedes name to make it sort last</v>
          </cell>
          <cell r="G407" t="str">
            <v>Note: Macros sort by a) RackName and b) Style</v>
          </cell>
        </row>
        <row r="408">
          <cell r="G408" t="str">
            <v>and assume that the sort columns are E &amp; F for Base, U &amp; V for Proposed</v>
          </cell>
        </row>
        <row r="409">
          <cell r="A409" t="str">
            <v>Notes:</v>
          </cell>
        </row>
        <row r="413">
          <cell r="A413" t="str">
            <v>columns from the Base System to the Proposed system (ID, Description, Length &amp; Style)</v>
          </cell>
        </row>
        <row r="414">
          <cell r="A414" t="str">
            <v xml:space="preserve">columns. </v>
          </cell>
        </row>
        <row r="415">
          <cell r="A415" t="str">
            <v>Then sort the Base and Proposed areas individually so you can see that each casework item is in its proper grouping.</v>
          </cell>
        </row>
        <row r="418">
          <cell r="A418" t="str">
            <v>Electricity Cost Breakdwown</v>
          </cell>
        </row>
      </sheetData>
      <sheetData sheetId="4"/>
      <sheetData sheetId="5"/>
      <sheetData sheetId="6"/>
      <sheetData sheetId="7">
        <row r="28">
          <cell r="AO28">
            <v>1</v>
          </cell>
          <cell r="AP28" t="str">
            <v>B</v>
          </cell>
          <cell r="AQ28">
            <v>8</v>
          </cell>
          <cell r="AR28">
            <v>650</v>
          </cell>
        </row>
        <row r="29">
          <cell r="AO29">
            <v>2</v>
          </cell>
          <cell r="AP29" t="str">
            <v>N</v>
          </cell>
          <cell r="AQ29">
            <v>8</v>
          </cell>
          <cell r="AR29">
            <v>245</v>
          </cell>
        </row>
        <row r="30">
          <cell r="AO30">
            <v>3</v>
          </cell>
          <cell r="AP30" t="str">
            <v>Q</v>
          </cell>
          <cell r="AQ30">
            <v>8</v>
          </cell>
          <cell r="AR30">
            <v>205</v>
          </cell>
        </row>
        <row r="31">
          <cell r="AO31">
            <v>4</v>
          </cell>
          <cell r="AP31" t="str">
            <v>T</v>
          </cell>
          <cell r="AQ31">
            <v>8</v>
          </cell>
          <cell r="AR31">
            <v>175</v>
          </cell>
        </row>
        <row r="32">
          <cell r="AO32">
            <v>5</v>
          </cell>
          <cell r="AP32" t="str">
            <v>W</v>
          </cell>
          <cell r="AQ32">
            <v>8</v>
          </cell>
          <cell r="AR32">
            <v>175</v>
          </cell>
        </row>
        <row r="33">
          <cell r="AO33">
            <v>6</v>
          </cell>
          <cell r="AP33" t="str">
            <v>Z</v>
          </cell>
          <cell r="AQ33">
            <v>8</v>
          </cell>
          <cell r="AR33">
            <v>175</v>
          </cell>
        </row>
        <row r="34">
          <cell r="AO34">
            <v>7</v>
          </cell>
          <cell r="AP34" t="str">
            <v>AC</v>
          </cell>
          <cell r="AQ34">
            <v>8</v>
          </cell>
          <cell r="AR34">
            <v>175</v>
          </cell>
        </row>
        <row r="35">
          <cell r="AO35">
            <v>8</v>
          </cell>
          <cell r="AQ35">
            <v>8</v>
          </cell>
          <cell r="AR35" t="str">
            <v/>
          </cell>
        </row>
        <row r="36">
          <cell r="AO36">
            <v>9</v>
          </cell>
          <cell r="AQ36">
            <v>8</v>
          </cell>
          <cell r="AR36" t="str">
            <v/>
          </cell>
        </row>
        <row r="37">
          <cell r="AO37">
            <v>10</v>
          </cell>
          <cell r="AQ37">
            <v>8</v>
          </cell>
          <cell r="AR37" t="str">
            <v/>
          </cell>
        </row>
      </sheetData>
      <sheetData sheetId="8">
        <row r="47">
          <cell r="G47">
            <v>0</v>
          </cell>
        </row>
      </sheetData>
      <sheetData sheetId="9">
        <row r="326">
          <cell r="AE326">
            <v>72</v>
          </cell>
        </row>
      </sheetData>
      <sheetData sheetId="10">
        <row r="13">
          <cell r="A13">
            <v>1</v>
          </cell>
          <cell r="B13" t="str">
            <v>PTAC</v>
          </cell>
          <cell r="C13" t="str">
            <v>CAV</v>
          </cell>
          <cell r="D13" t="str">
            <v>DX</v>
          </cell>
          <cell r="E13" t="str">
            <v>HW Fossil Boiler</v>
          </cell>
          <cell r="F13" t="str">
            <v>PTAC + CAV Fan + DX Cooling + HW Fossil Fuel Boiler</v>
          </cell>
        </row>
        <row r="14">
          <cell r="A14">
            <v>2</v>
          </cell>
          <cell r="B14" t="str">
            <v>Pkg Term. HP</v>
          </cell>
          <cell r="C14" t="str">
            <v>CAV</v>
          </cell>
          <cell r="D14" t="str">
            <v>HeatPump</v>
          </cell>
          <cell r="E14" t="str">
            <v>HeatPump</v>
          </cell>
          <cell r="F14" t="str">
            <v>PTHP + CAV Fan + DX Cooling + Elect Heat Pump</v>
          </cell>
        </row>
        <row r="15">
          <cell r="A15">
            <v>3</v>
          </cell>
          <cell r="B15" t="str">
            <v>Pkg Rooftop</v>
          </cell>
          <cell r="C15" t="str">
            <v>CAV</v>
          </cell>
          <cell r="D15" t="str">
            <v>DX</v>
          </cell>
          <cell r="E15" t="str">
            <v>Fossil Furnace</v>
          </cell>
          <cell r="F15" t="str">
            <v>Pkg Rooftop CAV + DX Cooling + Fossil Fuel Furnace</v>
          </cell>
        </row>
        <row r="16">
          <cell r="A16">
            <v>4</v>
          </cell>
          <cell r="B16" t="str">
            <v>Pkg HP</v>
          </cell>
          <cell r="C16" t="str">
            <v>CAV</v>
          </cell>
          <cell r="D16" t="str">
            <v>HeatPump</v>
          </cell>
          <cell r="E16" t="str">
            <v>HeatPump</v>
          </cell>
          <cell r="F16" t="str">
            <v>Pkg Rooftop CAV HeatPump</v>
          </cell>
        </row>
        <row r="17">
          <cell r="A17">
            <v>5</v>
          </cell>
          <cell r="B17" t="str">
            <v>Pkg Rooftop VAV w/ Rht</v>
          </cell>
          <cell r="C17" t="str">
            <v>VAV</v>
          </cell>
          <cell r="D17" t="str">
            <v>DX</v>
          </cell>
          <cell r="E17" t="str">
            <v>HW Fossil Boiler</v>
          </cell>
          <cell r="F17" t="str">
            <v>Pkg. Rooftop VAV w/ Reheat + VAV Fan + DX Cooling + HW Fossil Fuel Boiler</v>
          </cell>
        </row>
        <row r="18">
          <cell r="A18">
            <v>6</v>
          </cell>
          <cell r="B18" t="str">
            <v>Pkg Rooftop VAV w/ PFP&amp;Rht</v>
          </cell>
          <cell r="C18" t="str">
            <v>VAV</v>
          </cell>
          <cell r="D18" t="str">
            <v>DX</v>
          </cell>
          <cell r="E18" t="str">
            <v>ElectResist</v>
          </cell>
          <cell r="F18" t="str">
            <v>Pkg. Rooftop VAV w/ Reheat + VAV Fan + DX Cooling + Elect Resist.</v>
          </cell>
        </row>
        <row r="19">
          <cell r="A19">
            <v>7</v>
          </cell>
          <cell r="B19" t="str">
            <v>Pkg Rooftop VAV w/ Rht</v>
          </cell>
          <cell r="C19" t="str">
            <v>VAV</v>
          </cell>
          <cell r="D19" t="str">
            <v>CHW</v>
          </cell>
          <cell r="E19" t="str">
            <v>HW Fossil Boiler</v>
          </cell>
          <cell r="F19" t="str">
            <v>Pkg. Rooftop VAV w/ Reheat + CHW Cooling + HW Fossil Fuel Boiler</v>
          </cell>
        </row>
        <row r="21">
          <cell r="A21">
            <v>8</v>
          </cell>
          <cell r="B21" t="str">
            <v>VAV w/ Rht</v>
          </cell>
          <cell r="C21" t="str">
            <v>VAV</v>
          </cell>
          <cell r="D21" t="str">
            <v>CHW</v>
          </cell>
          <cell r="E21" t="str">
            <v>ElectResist</v>
          </cell>
          <cell r="F21" t="str">
            <v>VAV w/ Reheat + CHW Cooling + Elect Resist.</v>
          </cell>
        </row>
        <row r="108">
          <cell r="B108">
            <v>773.3</v>
          </cell>
          <cell r="F108">
            <v>200</v>
          </cell>
        </row>
        <row r="143">
          <cell r="M143">
            <v>0</v>
          </cell>
          <cell r="O143">
            <v>70</v>
          </cell>
          <cell r="P143">
            <v>70</v>
          </cell>
          <cell r="Q143">
            <v>70</v>
          </cell>
          <cell r="R143">
            <v>70</v>
          </cell>
          <cell r="S143">
            <v>70</v>
          </cell>
          <cell r="T143">
            <v>70</v>
          </cell>
          <cell r="U143">
            <v>70</v>
          </cell>
        </row>
        <row r="144">
          <cell r="M144">
            <v>0.5</v>
          </cell>
          <cell r="O144">
            <v>70</v>
          </cell>
          <cell r="P144">
            <v>70</v>
          </cell>
          <cell r="Q144">
            <v>70</v>
          </cell>
          <cell r="R144">
            <v>70</v>
          </cell>
          <cell r="S144">
            <v>70</v>
          </cell>
          <cell r="T144">
            <v>70</v>
          </cell>
          <cell r="U144">
            <v>70</v>
          </cell>
        </row>
        <row r="145">
          <cell r="M145">
            <v>0.75</v>
          </cell>
          <cell r="O145">
            <v>70</v>
          </cell>
          <cell r="P145">
            <v>70</v>
          </cell>
          <cell r="Q145">
            <v>70</v>
          </cell>
          <cell r="R145">
            <v>70</v>
          </cell>
          <cell r="S145">
            <v>70</v>
          </cell>
          <cell r="T145">
            <v>80</v>
          </cell>
          <cell r="U145">
            <v>80</v>
          </cell>
        </row>
        <row r="146">
          <cell r="M146">
            <v>1</v>
          </cell>
          <cell r="N146" t="str">
            <v>-</v>
          </cell>
          <cell r="O146">
            <v>82.5</v>
          </cell>
          <cell r="P146">
            <v>80</v>
          </cell>
          <cell r="Q146">
            <v>75.5</v>
          </cell>
          <cell r="R146">
            <v>82.5</v>
          </cell>
          <cell r="S146">
            <v>80</v>
          </cell>
          <cell r="T146">
            <v>84</v>
          </cell>
          <cell r="U146">
            <v>85</v>
          </cell>
        </row>
        <row r="147">
          <cell r="M147">
            <v>1.5</v>
          </cell>
          <cell r="N147">
            <v>82.5</v>
          </cell>
          <cell r="O147">
            <v>84</v>
          </cell>
          <cell r="P147">
            <v>84</v>
          </cell>
          <cell r="Q147">
            <v>82.5</v>
          </cell>
          <cell r="R147">
            <v>84</v>
          </cell>
          <cell r="S147">
            <v>85.5</v>
          </cell>
          <cell r="T147">
            <v>85.5</v>
          </cell>
          <cell r="U147">
            <v>84</v>
          </cell>
        </row>
        <row r="148">
          <cell r="M148">
            <v>2</v>
          </cell>
          <cell r="N148">
            <v>84</v>
          </cell>
          <cell r="O148">
            <v>84</v>
          </cell>
          <cell r="P148">
            <v>85.5</v>
          </cell>
          <cell r="Q148">
            <v>84</v>
          </cell>
          <cell r="R148">
            <v>84</v>
          </cell>
          <cell r="S148">
            <v>86.5</v>
          </cell>
          <cell r="T148">
            <v>85.5</v>
          </cell>
          <cell r="U148">
            <v>85.5</v>
          </cell>
        </row>
        <row r="149">
          <cell r="M149">
            <v>3</v>
          </cell>
          <cell r="N149">
            <v>84</v>
          </cell>
          <cell r="O149">
            <v>86.5</v>
          </cell>
          <cell r="P149">
            <v>85.5</v>
          </cell>
          <cell r="Q149">
            <v>85.5</v>
          </cell>
          <cell r="R149">
            <v>87.5</v>
          </cell>
          <cell r="S149">
            <v>87.5</v>
          </cell>
          <cell r="T149">
            <v>89.5</v>
          </cell>
          <cell r="U149">
            <v>89.5</v>
          </cell>
        </row>
        <row r="150">
          <cell r="M150">
            <v>5</v>
          </cell>
          <cell r="N150">
            <v>85.5</v>
          </cell>
          <cell r="O150">
            <v>87.5</v>
          </cell>
          <cell r="P150">
            <v>87.5</v>
          </cell>
          <cell r="Q150">
            <v>87.5</v>
          </cell>
          <cell r="R150">
            <v>87.5</v>
          </cell>
          <cell r="S150">
            <v>87.5</v>
          </cell>
          <cell r="T150">
            <v>89.5</v>
          </cell>
          <cell r="U150">
            <v>90.2</v>
          </cell>
        </row>
        <row r="151">
          <cell r="M151">
            <v>7.5</v>
          </cell>
          <cell r="N151">
            <v>87.5</v>
          </cell>
          <cell r="O151">
            <v>88.5</v>
          </cell>
          <cell r="P151">
            <v>88.5</v>
          </cell>
          <cell r="Q151">
            <v>88.5</v>
          </cell>
          <cell r="R151">
            <v>89.5</v>
          </cell>
          <cell r="S151">
            <v>89.5</v>
          </cell>
          <cell r="T151">
            <v>91</v>
          </cell>
          <cell r="U151">
            <v>91.7</v>
          </cell>
        </row>
        <row r="152">
          <cell r="M152">
            <v>10</v>
          </cell>
          <cell r="N152">
            <v>88.5</v>
          </cell>
          <cell r="O152">
            <v>89.5</v>
          </cell>
          <cell r="P152">
            <v>90.2</v>
          </cell>
          <cell r="Q152">
            <v>89.5</v>
          </cell>
          <cell r="R152">
            <v>89.5</v>
          </cell>
          <cell r="S152">
            <v>89.5</v>
          </cell>
          <cell r="T152">
            <v>91.7</v>
          </cell>
          <cell r="U152">
            <v>91.7</v>
          </cell>
        </row>
        <row r="153">
          <cell r="M153">
            <v>15</v>
          </cell>
          <cell r="N153">
            <v>89.5</v>
          </cell>
          <cell r="O153">
            <v>91</v>
          </cell>
          <cell r="P153">
            <v>90.2</v>
          </cell>
          <cell r="Q153">
            <v>90.2</v>
          </cell>
          <cell r="R153">
            <v>91</v>
          </cell>
          <cell r="S153">
            <v>90.2</v>
          </cell>
          <cell r="T153">
            <v>92</v>
          </cell>
          <cell r="U153">
            <v>92.4</v>
          </cell>
        </row>
        <row r="154">
          <cell r="M154">
            <v>20</v>
          </cell>
          <cell r="N154">
            <v>90.2</v>
          </cell>
          <cell r="O154">
            <v>91</v>
          </cell>
          <cell r="P154">
            <v>91</v>
          </cell>
          <cell r="Q154">
            <v>90.2</v>
          </cell>
          <cell r="R154">
            <v>91</v>
          </cell>
          <cell r="S154">
            <v>90.2</v>
          </cell>
          <cell r="T154">
            <v>92.4</v>
          </cell>
          <cell r="U154">
            <v>93</v>
          </cell>
        </row>
        <row r="155">
          <cell r="M155">
            <v>25</v>
          </cell>
          <cell r="N155">
            <v>91</v>
          </cell>
          <cell r="O155">
            <v>91.7</v>
          </cell>
          <cell r="P155">
            <v>91.7</v>
          </cell>
          <cell r="Q155">
            <v>91</v>
          </cell>
          <cell r="R155">
            <v>92.4</v>
          </cell>
          <cell r="S155">
            <v>91.7</v>
          </cell>
          <cell r="T155">
            <v>92.4</v>
          </cell>
          <cell r="U155">
            <v>93.6</v>
          </cell>
        </row>
        <row r="156">
          <cell r="M156">
            <v>30</v>
          </cell>
          <cell r="N156">
            <v>91</v>
          </cell>
          <cell r="O156">
            <v>92.4</v>
          </cell>
          <cell r="P156">
            <v>92.4</v>
          </cell>
          <cell r="Q156">
            <v>91</v>
          </cell>
          <cell r="R156">
            <v>92.4</v>
          </cell>
          <cell r="S156">
            <v>91.7</v>
          </cell>
          <cell r="T156">
            <v>93.6</v>
          </cell>
          <cell r="U156">
            <v>93.6</v>
          </cell>
        </row>
        <row r="157">
          <cell r="M157">
            <v>40</v>
          </cell>
          <cell r="N157">
            <v>91.7</v>
          </cell>
          <cell r="O157">
            <v>93</v>
          </cell>
          <cell r="P157">
            <v>93</v>
          </cell>
          <cell r="Q157">
            <v>91.7</v>
          </cell>
          <cell r="R157">
            <v>93</v>
          </cell>
          <cell r="S157">
            <v>93</v>
          </cell>
          <cell r="T157">
            <v>94.1</v>
          </cell>
          <cell r="U157">
            <v>94.1</v>
          </cell>
        </row>
        <row r="158">
          <cell r="M158">
            <v>50</v>
          </cell>
          <cell r="N158">
            <v>92.4</v>
          </cell>
          <cell r="O158">
            <v>93</v>
          </cell>
          <cell r="P158">
            <v>93</v>
          </cell>
          <cell r="Q158">
            <v>92.4</v>
          </cell>
          <cell r="R158">
            <v>93</v>
          </cell>
          <cell r="S158">
            <v>93</v>
          </cell>
          <cell r="T158">
            <v>94.1</v>
          </cell>
          <cell r="U158">
            <v>94.5</v>
          </cell>
        </row>
        <row r="159">
          <cell r="M159">
            <v>60</v>
          </cell>
          <cell r="N159">
            <v>93</v>
          </cell>
          <cell r="O159">
            <v>93.6</v>
          </cell>
          <cell r="P159">
            <v>93.6</v>
          </cell>
          <cell r="Q159">
            <v>93</v>
          </cell>
          <cell r="R159">
            <v>93.6</v>
          </cell>
          <cell r="S159">
            <v>93.6</v>
          </cell>
          <cell r="T159">
            <v>94.5</v>
          </cell>
          <cell r="U159">
            <v>95</v>
          </cell>
        </row>
        <row r="160">
          <cell r="M160">
            <v>75</v>
          </cell>
          <cell r="N160">
            <v>93</v>
          </cell>
          <cell r="O160">
            <v>94.1</v>
          </cell>
          <cell r="P160">
            <v>93.6</v>
          </cell>
          <cell r="Q160">
            <v>93</v>
          </cell>
          <cell r="R160">
            <v>94.1</v>
          </cell>
          <cell r="S160">
            <v>93.6</v>
          </cell>
          <cell r="T160">
            <v>95</v>
          </cell>
          <cell r="U160">
            <v>95.4</v>
          </cell>
        </row>
        <row r="161">
          <cell r="M161">
            <v>100</v>
          </cell>
          <cell r="N161">
            <v>93</v>
          </cell>
          <cell r="O161">
            <v>94.1</v>
          </cell>
          <cell r="P161">
            <v>94.1</v>
          </cell>
          <cell r="Q161">
            <v>93.6</v>
          </cell>
          <cell r="R161">
            <v>94.5</v>
          </cell>
          <cell r="S161">
            <v>94.1</v>
          </cell>
          <cell r="T161">
            <v>95.4</v>
          </cell>
          <cell r="U161">
            <v>95.4</v>
          </cell>
        </row>
        <row r="162">
          <cell r="M162">
            <v>125</v>
          </cell>
          <cell r="N162">
            <v>93.6</v>
          </cell>
          <cell r="O162">
            <v>94.5</v>
          </cell>
          <cell r="P162">
            <v>94.1</v>
          </cell>
          <cell r="Q162">
            <v>94.5</v>
          </cell>
          <cell r="R162">
            <v>94.5</v>
          </cell>
          <cell r="S162">
            <v>94.1</v>
          </cell>
          <cell r="T162">
            <v>95.4</v>
          </cell>
          <cell r="U162">
            <v>95.4</v>
          </cell>
        </row>
        <row r="163">
          <cell r="M163">
            <v>150</v>
          </cell>
          <cell r="N163">
            <v>93.6</v>
          </cell>
          <cell r="O163">
            <v>95</v>
          </cell>
          <cell r="P163">
            <v>94.5</v>
          </cell>
          <cell r="Q163">
            <v>94.5</v>
          </cell>
          <cell r="R163">
            <v>95</v>
          </cell>
          <cell r="S163">
            <v>95</v>
          </cell>
        </row>
        <row r="164">
          <cell r="M164">
            <v>200</v>
          </cell>
          <cell r="N164">
            <v>94.5</v>
          </cell>
          <cell r="O164">
            <v>95</v>
          </cell>
          <cell r="P164">
            <v>94.5</v>
          </cell>
          <cell r="Q164">
            <v>95</v>
          </cell>
          <cell r="R164">
            <v>95</v>
          </cell>
          <cell r="S164">
            <v>95</v>
          </cell>
        </row>
        <row r="172">
          <cell r="M172" t="str">
            <v>Assembly</v>
          </cell>
          <cell r="N172">
            <v>50</v>
          </cell>
          <cell r="O172">
            <v>0.25</v>
          </cell>
          <cell r="P172">
            <v>215</v>
          </cell>
          <cell r="Q172">
            <v>0.06</v>
          </cell>
          <cell r="R172">
            <v>5</v>
          </cell>
          <cell r="S172">
            <v>0.16</v>
          </cell>
          <cell r="T172">
            <v>14</v>
          </cell>
        </row>
        <row r="173">
          <cell r="M173" t="str">
            <v>Bakery</v>
          </cell>
          <cell r="N173">
            <v>200</v>
          </cell>
          <cell r="O173">
            <v>3</v>
          </cell>
          <cell r="Q173">
            <v>0.06</v>
          </cell>
          <cell r="R173">
            <v>7.5</v>
          </cell>
          <cell r="S173">
            <v>9.7500000000000003E-2</v>
          </cell>
          <cell r="T173">
            <v>23</v>
          </cell>
        </row>
        <row r="174">
          <cell r="M174" t="str">
            <v>CustHotel1</v>
          </cell>
          <cell r="N174">
            <v>250</v>
          </cell>
          <cell r="O174">
            <v>0.25</v>
          </cell>
          <cell r="P174">
            <v>1110</v>
          </cell>
          <cell r="Q174">
            <v>0.06</v>
          </cell>
          <cell r="R174">
            <v>10</v>
          </cell>
          <cell r="S174">
            <v>0.1</v>
          </cell>
          <cell r="T174">
            <v>20</v>
          </cell>
        </row>
        <row r="175">
          <cell r="M175" t="str">
            <v>CustHotel2</v>
          </cell>
          <cell r="N175">
            <v>250</v>
          </cell>
          <cell r="O175">
            <v>0.25</v>
          </cell>
          <cell r="P175">
            <v>1110</v>
          </cell>
          <cell r="Q175">
            <v>0.06</v>
          </cell>
          <cell r="R175">
            <v>10</v>
          </cell>
          <cell r="S175">
            <v>0.1</v>
          </cell>
          <cell r="T175">
            <v>21</v>
          </cell>
        </row>
        <row r="176">
          <cell r="M176" t="str">
            <v>Health</v>
          </cell>
          <cell r="N176">
            <v>200</v>
          </cell>
          <cell r="O176">
            <v>1</v>
          </cell>
          <cell r="P176">
            <v>135</v>
          </cell>
          <cell r="Q176">
            <v>0.06</v>
          </cell>
          <cell r="R176">
            <v>10</v>
          </cell>
          <cell r="S176">
            <v>0.11</v>
          </cell>
          <cell r="T176">
            <v>16</v>
          </cell>
        </row>
        <row r="177">
          <cell r="M177" t="str">
            <v>Hotel</v>
          </cell>
          <cell r="N177">
            <v>250</v>
          </cell>
          <cell r="O177">
            <v>0.25</v>
          </cell>
          <cell r="P177">
            <v>1110</v>
          </cell>
          <cell r="Q177">
            <v>0.06</v>
          </cell>
          <cell r="R177">
            <v>10</v>
          </cell>
          <cell r="S177">
            <v>0.1</v>
          </cell>
          <cell r="T177">
            <v>11</v>
          </cell>
        </row>
        <row r="178">
          <cell r="M178" t="str">
            <v>Lt Mfg</v>
          </cell>
          <cell r="N178">
            <v>750</v>
          </cell>
          <cell r="O178">
            <v>0.2</v>
          </cell>
          <cell r="P178">
            <v>225</v>
          </cell>
          <cell r="Q178">
            <v>0.06</v>
          </cell>
          <cell r="R178">
            <v>10</v>
          </cell>
          <cell r="S178">
            <v>7.3333333333333334E-2</v>
          </cell>
          <cell r="T178">
            <v>17</v>
          </cell>
        </row>
        <row r="179">
          <cell r="M179" t="str">
            <v>Office</v>
          </cell>
          <cell r="N179">
            <v>275</v>
          </cell>
          <cell r="O179">
            <v>0.75</v>
          </cell>
          <cell r="P179">
            <v>175</v>
          </cell>
          <cell r="Q179">
            <v>0.06</v>
          </cell>
          <cell r="R179">
            <v>5</v>
          </cell>
          <cell r="S179">
            <v>7.8181818181818186E-2</v>
          </cell>
          <cell r="T179">
            <v>13</v>
          </cell>
        </row>
        <row r="180">
          <cell r="M180" t="str">
            <v>Restaurant</v>
          </cell>
          <cell r="N180">
            <v>100</v>
          </cell>
          <cell r="O180">
            <v>0.1</v>
          </cell>
          <cell r="P180">
            <v>390</v>
          </cell>
          <cell r="Q180">
            <v>0.18</v>
          </cell>
          <cell r="R180">
            <v>7.5</v>
          </cell>
          <cell r="S180">
            <v>0.255</v>
          </cell>
          <cell r="T180">
            <v>12</v>
          </cell>
        </row>
        <row r="181">
          <cell r="M181" t="str">
            <v>Retail</v>
          </cell>
          <cell r="N181">
            <v>300</v>
          </cell>
          <cell r="O181">
            <v>0.25</v>
          </cell>
          <cell r="P181">
            <v>135</v>
          </cell>
          <cell r="Q181">
            <v>0.12</v>
          </cell>
          <cell r="R181">
            <v>7.5</v>
          </cell>
          <cell r="S181">
            <v>0.14499999999999999</v>
          </cell>
          <cell r="T181">
            <v>15</v>
          </cell>
        </row>
        <row r="182">
          <cell r="M182" t="str">
            <v>School</v>
          </cell>
          <cell r="N182">
            <v>75</v>
          </cell>
          <cell r="O182">
            <v>0.5</v>
          </cell>
          <cell r="P182">
            <v>215</v>
          </cell>
          <cell r="Q182">
            <v>0.12</v>
          </cell>
          <cell r="R182">
            <v>10</v>
          </cell>
          <cell r="S182">
            <v>0.2533333333333333</v>
          </cell>
          <cell r="T182">
            <v>18</v>
          </cell>
        </row>
        <row r="183">
          <cell r="M183" t="str">
            <v>SuperMkt</v>
          </cell>
          <cell r="N183">
            <v>125</v>
          </cell>
          <cell r="O183">
            <v>0.5</v>
          </cell>
          <cell r="Q183">
            <v>0.06</v>
          </cell>
          <cell r="R183">
            <v>7.5</v>
          </cell>
          <cell r="S183">
            <v>0.12</v>
          </cell>
          <cell r="T183">
            <v>22</v>
          </cell>
        </row>
        <row r="184">
          <cell r="M184" t="str">
            <v>Warehouse</v>
          </cell>
          <cell r="N184">
            <v>15000</v>
          </cell>
          <cell r="O184">
            <v>0.1</v>
          </cell>
          <cell r="P184">
            <v>225</v>
          </cell>
          <cell r="Q184">
            <v>0.06</v>
          </cell>
          <cell r="R184">
            <v>0</v>
          </cell>
          <cell r="S184">
            <v>0.06</v>
          </cell>
          <cell r="T184">
            <v>19</v>
          </cell>
        </row>
        <row r="185">
          <cell r="M185" t="str">
            <v>ZCustom1</v>
          </cell>
        </row>
        <row r="186">
          <cell r="M186" t="str">
            <v>ZCustom2</v>
          </cell>
        </row>
        <row r="339">
          <cell r="B339">
            <v>0.35</v>
          </cell>
          <cell r="E339">
            <v>1.0437131367292223</v>
          </cell>
        </row>
      </sheetData>
      <sheetData sheetId="11">
        <row r="15">
          <cell r="AA15" t="e">
            <v>#REF!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98:V279"/>
  <sheetViews>
    <sheetView topLeftCell="A197" zoomScaleNormal="100" workbookViewId="0">
      <selection activeCell="A222" sqref="A222"/>
    </sheetView>
  </sheetViews>
  <sheetFormatPr defaultRowHeight="15" x14ac:dyDescent="0.25"/>
  <cols>
    <col min="1" max="3" width="9.140625" customWidth="1"/>
    <col min="4" max="4" width="10.28515625" customWidth="1"/>
    <col min="5" max="5" width="9.140625" customWidth="1"/>
    <col min="8" max="10" width="10.42578125" customWidth="1"/>
    <col min="11" max="11" width="15.42578125" customWidth="1"/>
    <col min="12" max="12" width="16.140625" customWidth="1"/>
    <col min="13" max="13" width="13.42578125" customWidth="1"/>
    <col min="14" max="14" width="11.85546875" customWidth="1"/>
    <col min="16" max="17" width="10.28515625" customWidth="1"/>
    <col min="18" max="18" width="11.7109375" customWidth="1"/>
    <col min="19" max="19" width="12.42578125" customWidth="1"/>
    <col min="20" max="20" width="16.140625" bestFit="1" customWidth="1"/>
    <col min="21" max="21" width="11.42578125" bestFit="1" customWidth="1"/>
    <col min="22" max="22" width="10.28515625" customWidth="1"/>
  </cols>
  <sheetData>
    <row r="98" spans="2:7" ht="18.75" x14ac:dyDescent="0.3">
      <c r="B98" s="36" t="s">
        <v>20</v>
      </c>
      <c r="C98" s="36"/>
    </row>
    <row r="99" spans="2:7" x14ac:dyDescent="0.25">
      <c r="B99" s="37" t="s">
        <v>21</v>
      </c>
      <c r="C99" s="37"/>
      <c r="D99" s="37"/>
      <c r="E99" s="37"/>
      <c r="F99" s="37"/>
      <c r="G99" s="37"/>
    </row>
    <row r="125" spans="2:22" x14ac:dyDescent="0.25">
      <c r="B125" s="38"/>
      <c r="C125" s="38"/>
      <c r="D125" s="38"/>
      <c r="E125" s="38"/>
      <c r="F125" s="38"/>
      <c r="G125" s="38"/>
      <c r="P125" s="37" t="s">
        <v>22</v>
      </c>
      <c r="Q125" s="39"/>
      <c r="R125" s="73">
        <v>510</v>
      </c>
      <c r="S125" t="s">
        <v>23</v>
      </c>
    </row>
    <row r="126" spans="2:22" x14ac:dyDescent="0.25">
      <c r="B126" s="38"/>
      <c r="C126" s="38"/>
      <c r="D126" s="38"/>
      <c r="E126" s="38"/>
      <c r="F126" s="38"/>
      <c r="G126" s="38"/>
    </row>
    <row r="127" spans="2:22" x14ac:dyDescent="0.25">
      <c r="H127" s="37" t="s">
        <v>24</v>
      </c>
      <c r="I127" s="37"/>
      <c r="J127" s="37"/>
      <c r="K127" s="37"/>
      <c r="L127" s="37"/>
      <c r="M127" s="37"/>
      <c r="N127" s="38"/>
      <c r="P127" s="37" t="s">
        <v>25</v>
      </c>
      <c r="Q127" s="37"/>
      <c r="R127" s="37"/>
      <c r="S127" s="37"/>
      <c r="T127" s="37"/>
      <c r="U127" s="37"/>
      <c r="V127" s="37"/>
    </row>
    <row r="128" spans="2:22" x14ac:dyDescent="0.25">
      <c r="B128" s="37" t="s">
        <v>26</v>
      </c>
      <c r="C128" s="37"/>
      <c r="D128" s="37"/>
      <c r="E128" s="37"/>
      <c r="H128" s="37" t="s">
        <v>27</v>
      </c>
      <c r="I128" s="37"/>
      <c r="J128" s="37"/>
      <c r="K128" s="37"/>
      <c r="L128" s="37"/>
      <c r="M128" s="37"/>
      <c r="P128" s="37" t="s">
        <v>28</v>
      </c>
      <c r="Q128" s="37"/>
      <c r="R128" s="37"/>
      <c r="S128" s="37"/>
      <c r="T128" s="37"/>
      <c r="U128" s="37"/>
    </row>
    <row r="129" spans="2:22" x14ac:dyDescent="0.25">
      <c r="M129" s="82" t="s">
        <v>29</v>
      </c>
      <c r="N129" s="82"/>
      <c r="T129" t="s">
        <v>29</v>
      </c>
      <c r="V129" t="s">
        <v>29</v>
      </c>
    </row>
    <row r="130" spans="2:22" ht="15.75" thickBot="1" x14ac:dyDescent="0.3">
      <c r="B130" s="40" t="s">
        <v>30</v>
      </c>
      <c r="C130" s="40" t="s">
        <v>73</v>
      </c>
      <c r="D130" s="40" t="s">
        <v>67</v>
      </c>
      <c r="E130" s="40" t="s">
        <v>74</v>
      </c>
      <c r="F130" s="40" t="s">
        <v>70</v>
      </c>
      <c r="H130" s="40" t="s">
        <v>30</v>
      </c>
      <c r="I130" s="40" t="s">
        <v>68</v>
      </c>
      <c r="J130" s="40" t="s">
        <v>67</v>
      </c>
      <c r="K130" s="40" t="s">
        <v>69</v>
      </c>
      <c r="L130" s="40" t="s">
        <v>70</v>
      </c>
      <c r="M130" s="40" t="s">
        <v>71</v>
      </c>
      <c r="N130" s="40" t="s">
        <v>72</v>
      </c>
      <c r="P130" s="40" t="s">
        <v>30</v>
      </c>
      <c r="Q130" s="40" t="s">
        <v>73</v>
      </c>
      <c r="R130" s="40" t="s">
        <v>67</v>
      </c>
      <c r="S130" s="40" t="s">
        <v>74</v>
      </c>
      <c r="T130" s="40" t="s">
        <v>75</v>
      </c>
      <c r="U130" s="40" t="s">
        <v>72</v>
      </c>
      <c r="V130" s="40" t="s">
        <v>76</v>
      </c>
    </row>
    <row r="131" spans="2:22" ht="15.75" thickTop="1" x14ac:dyDescent="0.25">
      <c r="B131" s="69">
        <v>800</v>
      </c>
      <c r="C131" s="69">
        <v>72</v>
      </c>
      <c r="D131" s="70">
        <v>85</v>
      </c>
      <c r="E131" s="70">
        <v>43.6</v>
      </c>
      <c r="F131" s="70">
        <v>3.29</v>
      </c>
      <c r="H131" s="70">
        <v>1100</v>
      </c>
      <c r="I131" s="70">
        <v>72</v>
      </c>
      <c r="J131" s="70">
        <v>85</v>
      </c>
      <c r="K131" s="71">
        <v>46.9</v>
      </c>
      <c r="L131" s="70">
        <v>3.41</v>
      </c>
      <c r="M131" s="77">
        <f>$K131+($R$125*3.4121/1000)</f>
        <v>48.640170999999995</v>
      </c>
      <c r="N131" s="72">
        <f>$L131-$R$125/1000</f>
        <v>2.9000000000000004</v>
      </c>
      <c r="P131" s="41">
        <v>800</v>
      </c>
      <c r="Q131" s="41">
        <v>67</v>
      </c>
      <c r="R131" s="41">
        <v>95</v>
      </c>
      <c r="S131" s="42">
        <v>37.200000000000003</v>
      </c>
      <c r="T131" s="76">
        <f>$S131+($R$125*3.412/1000)</f>
        <v>38.94012</v>
      </c>
      <c r="U131" s="74">
        <v>3.41</v>
      </c>
      <c r="V131" s="75">
        <f>$U131-$R$125/1000</f>
        <v>2.9000000000000004</v>
      </c>
    </row>
    <row r="132" spans="2:22" x14ac:dyDescent="0.25">
      <c r="B132" s="69">
        <v>800</v>
      </c>
      <c r="C132" s="69">
        <v>67</v>
      </c>
      <c r="D132" s="70">
        <v>85</v>
      </c>
      <c r="E132" s="70">
        <v>39.4</v>
      </c>
      <c r="F132" s="70">
        <v>3.19</v>
      </c>
      <c r="H132" s="70">
        <v>1100</v>
      </c>
      <c r="I132" s="70">
        <v>67</v>
      </c>
      <c r="J132" s="70">
        <v>85</v>
      </c>
      <c r="K132" s="71">
        <v>42.5</v>
      </c>
      <c r="L132" s="70">
        <v>3.31</v>
      </c>
      <c r="M132" s="77">
        <f t="shared" ref="M132:M150" si="0">$K132+($R$125*3.4121/1000)</f>
        <v>44.240171000000004</v>
      </c>
      <c r="N132" s="72">
        <f t="shared" ref="N132:N150" si="1">$L132-$R$125/1000</f>
        <v>2.8</v>
      </c>
      <c r="P132" s="41">
        <v>900</v>
      </c>
      <c r="Q132" s="41">
        <v>67</v>
      </c>
      <c r="R132" s="41">
        <v>95</v>
      </c>
      <c r="S132" s="42">
        <v>38.299999999999997</v>
      </c>
      <c r="T132" s="76">
        <f t="shared" ref="T132:T135" si="2">$S132+($R$125*3.412/1000)</f>
        <v>40.040119999999995</v>
      </c>
      <c r="U132" s="74">
        <v>3.46</v>
      </c>
      <c r="V132" s="75">
        <f t="shared" ref="V132:V135" si="3">$U132-$R$125/1000</f>
        <v>2.95</v>
      </c>
    </row>
    <row r="133" spans="2:22" x14ac:dyDescent="0.25">
      <c r="B133" s="69">
        <v>800</v>
      </c>
      <c r="C133" s="69">
        <v>63</v>
      </c>
      <c r="D133" s="70">
        <v>85</v>
      </c>
      <c r="E133" s="70">
        <v>36.4</v>
      </c>
      <c r="F133" s="70">
        <v>3.11</v>
      </c>
      <c r="H133" s="70">
        <v>1100</v>
      </c>
      <c r="I133" s="70">
        <v>63</v>
      </c>
      <c r="J133" s="70">
        <v>85</v>
      </c>
      <c r="K133" s="71">
        <v>39.299999999999997</v>
      </c>
      <c r="L133" s="70">
        <v>3.23</v>
      </c>
      <c r="M133" s="77">
        <f t="shared" si="0"/>
        <v>41.040171000000001</v>
      </c>
      <c r="N133" s="72">
        <f t="shared" si="1"/>
        <v>2.7199999999999998</v>
      </c>
      <c r="P133" s="41">
        <v>990</v>
      </c>
      <c r="Q133" s="41">
        <v>67</v>
      </c>
      <c r="R133" s="41">
        <v>95</v>
      </c>
      <c r="S133" s="42">
        <v>39.200000000000003</v>
      </c>
      <c r="T133" s="76">
        <f t="shared" si="2"/>
        <v>40.94012</v>
      </c>
      <c r="U133" s="74">
        <v>3.5</v>
      </c>
      <c r="V133" s="75">
        <f t="shared" si="3"/>
        <v>2.99</v>
      </c>
    </row>
    <row r="134" spans="2:22" x14ac:dyDescent="0.25">
      <c r="B134" s="69">
        <v>800</v>
      </c>
      <c r="C134" s="69">
        <v>62</v>
      </c>
      <c r="D134" s="70">
        <v>85</v>
      </c>
      <c r="E134" s="70">
        <v>35.6</v>
      </c>
      <c r="F134" s="70">
        <v>3.09</v>
      </c>
      <c r="H134" s="70">
        <v>1100</v>
      </c>
      <c r="I134" s="70">
        <v>62</v>
      </c>
      <c r="J134" s="70">
        <v>85</v>
      </c>
      <c r="K134" s="71">
        <v>38.6</v>
      </c>
      <c r="L134" s="70">
        <v>3.21</v>
      </c>
      <c r="M134" s="77">
        <f t="shared" si="0"/>
        <v>40.340170999999998</v>
      </c>
      <c r="N134" s="72">
        <f t="shared" si="1"/>
        <v>2.7</v>
      </c>
      <c r="P134" s="41">
        <v>1100</v>
      </c>
      <c r="Q134" s="41">
        <v>67</v>
      </c>
      <c r="R134" s="41">
        <v>95</v>
      </c>
      <c r="S134" s="42">
        <v>40</v>
      </c>
      <c r="T134" s="76">
        <f t="shared" si="2"/>
        <v>41.740119999999997</v>
      </c>
      <c r="U134" s="74">
        <v>3.54</v>
      </c>
      <c r="V134" s="75">
        <f t="shared" si="3"/>
        <v>3.0300000000000002</v>
      </c>
    </row>
    <row r="135" spans="2:22" x14ac:dyDescent="0.25">
      <c r="B135" s="69">
        <v>800</v>
      </c>
      <c r="C135" s="69">
        <v>57</v>
      </c>
      <c r="D135" s="70">
        <v>85</v>
      </c>
      <c r="E135" s="70">
        <v>32.4</v>
      </c>
      <c r="F135" s="74">
        <v>3</v>
      </c>
      <c r="H135" s="70">
        <v>1100</v>
      </c>
      <c r="I135" s="70">
        <v>57</v>
      </c>
      <c r="J135" s="70">
        <v>85</v>
      </c>
      <c r="K135" s="71">
        <v>37</v>
      </c>
      <c r="L135" s="70">
        <v>3.17</v>
      </c>
      <c r="M135" s="77">
        <f t="shared" si="0"/>
        <v>38.740171000000004</v>
      </c>
      <c r="N135" s="72">
        <f t="shared" si="1"/>
        <v>2.66</v>
      </c>
      <c r="P135" s="41">
        <v>1225</v>
      </c>
      <c r="Q135" s="41">
        <v>67</v>
      </c>
      <c r="R135" s="41">
        <v>95</v>
      </c>
      <c r="S135" s="42">
        <v>40.799999999999997</v>
      </c>
      <c r="T135" s="76">
        <f t="shared" si="2"/>
        <v>42.540119999999995</v>
      </c>
      <c r="U135" s="74">
        <v>3.58</v>
      </c>
      <c r="V135" s="75">
        <f t="shared" si="3"/>
        <v>3.0700000000000003</v>
      </c>
    </row>
    <row r="136" spans="2:22" x14ac:dyDescent="0.25">
      <c r="B136" s="69">
        <v>900</v>
      </c>
      <c r="C136" s="69">
        <v>72</v>
      </c>
      <c r="D136" s="70">
        <v>85</v>
      </c>
      <c r="E136" s="70">
        <v>44.9</v>
      </c>
      <c r="F136" s="70">
        <v>3.33</v>
      </c>
      <c r="H136" s="70">
        <v>1100</v>
      </c>
      <c r="I136" s="70">
        <v>72</v>
      </c>
      <c r="J136" s="70">
        <v>95</v>
      </c>
      <c r="K136" s="71">
        <v>44.2</v>
      </c>
      <c r="L136" s="70">
        <v>3.66</v>
      </c>
      <c r="M136" s="77">
        <f t="shared" si="0"/>
        <v>45.940171000000007</v>
      </c>
      <c r="N136" s="72">
        <f t="shared" si="1"/>
        <v>3.1500000000000004</v>
      </c>
    </row>
    <row r="137" spans="2:22" x14ac:dyDescent="0.25">
      <c r="B137" s="69">
        <v>900</v>
      </c>
      <c r="C137" s="69">
        <v>67</v>
      </c>
      <c r="D137" s="70">
        <v>85</v>
      </c>
      <c r="E137" s="70">
        <v>40.6</v>
      </c>
      <c r="F137" s="70">
        <v>3.23</v>
      </c>
      <c r="H137" s="70">
        <v>1100</v>
      </c>
      <c r="I137" s="70">
        <v>67</v>
      </c>
      <c r="J137" s="70">
        <v>95</v>
      </c>
      <c r="K137" s="71">
        <v>40</v>
      </c>
      <c r="L137" s="70">
        <v>3.54</v>
      </c>
      <c r="M137" s="77">
        <f t="shared" si="0"/>
        <v>41.740171000000004</v>
      </c>
      <c r="N137" s="72">
        <f t="shared" si="1"/>
        <v>3.0300000000000002</v>
      </c>
    </row>
    <row r="138" spans="2:22" x14ac:dyDescent="0.25">
      <c r="B138" s="69">
        <v>900</v>
      </c>
      <c r="C138" s="69">
        <v>63</v>
      </c>
      <c r="D138" s="70">
        <v>85</v>
      </c>
      <c r="E138" s="70">
        <v>37.6</v>
      </c>
      <c r="F138" s="70">
        <v>3.16</v>
      </c>
      <c r="H138" s="70">
        <v>1100</v>
      </c>
      <c r="I138" s="70">
        <v>63</v>
      </c>
      <c r="J138" s="70">
        <v>95</v>
      </c>
      <c r="K138" s="71">
        <v>37</v>
      </c>
      <c r="L138" s="70">
        <v>3.45</v>
      </c>
      <c r="M138" s="77">
        <f t="shared" si="0"/>
        <v>38.740171000000004</v>
      </c>
      <c r="N138" s="72">
        <f t="shared" si="1"/>
        <v>2.9400000000000004</v>
      </c>
    </row>
    <row r="139" spans="2:22" x14ac:dyDescent="0.25">
      <c r="B139" s="69">
        <v>900</v>
      </c>
      <c r="C139" s="69">
        <v>62</v>
      </c>
      <c r="D139" s="70">
        <v>85</v>
      </c>
      <c r="E139" s="70">
        <v>36.700000000000003</v>
      </c>
      <c r="F139" s="70">
        <v>3.13</v>
      </c>
      <c r="H139" s="70">
        <v>1100</v>
      </c>
      <c r="I139" s="70">
        <v>62</v>
      </c>
      <c r="J139" s="70">
        <v>95</v>
      </c>
      <c r="K139" s="71">
        <v>36.200000000000003</v>
      </c>
      <c r="L139" s="70">
        <v>3.43</v>
      </c>
      <c r="M139" s="77">
        <f t="shared" si="0"/>
        <v>37.940171000000007</v>
      </c>
      <c r="N139" s="72">
        <f t="shared" si="1"/>
        <v>2.92</v>
      </c>
    </row>
    <row r="140" spans="2:22" x14ac:dyDescent="0.25">
      <c r="B140" s="69">
        <v>900</v>
      </c>
      <c r="C140" s="69">
        <v>57</v>
      </c>
      <c r="D140" s="70">
        <v>85</v>
      </c>
      <c r="E140" s="70">
        <v>34.1</v>
      </c>
      <c r="F140" s="70">
        <v>3.07</v>
      </c>
      <c r="H140" s="70">
        <v>1100</v>
      </c>
      <c r="I140" s="70">
        <v>57</v>
      </c>
      <c r="J140" s="70">
        <v>95</v>
      </c>
      <c r="K140" s="71">
        <v>35.200000000000003</v>
      </c>
      <c r="L140" s="70">
        <v>3.39</v>
      </c>
      <c r="M140" s="77">
        <f t="shared" si="0"/>
        <v>36.940171000000007</v>
      </c>
      <c r="N140" s="72">
        <f t="shared" si="1"/>
        <v>2.88</v>
      </c>
      <c r="R140" s="81" t="s">
        <v>31</v>
      </c>
      <c r="S140" s="81"/>
      <c r="T140" s="81"/>
    </row>
    <row r="141" spans="2:22" x14ac:dyDescent="0.25">
      <c r="B141" s="69">
        <v>990</v>
      </c>
      <c r="C141" s="69">
        <v>72</v>
      </c>
      <c r="D141" s="70">
        <v>85</v>
      </c>
      <c r="E141" s="70">
        <v>45.9</v>
      </c>
      <c r="F141" s="70">
        <v>3.37</v>
      </c>
      <c r="H141" s="70">
        <v>1100</v>
      </c>
      <c r="I141" s="70">
        <v>72</v>
      </c>
      <c r="J141" s="70">
        <v>105</v>
      </c>
      <c r="K141" s="71">
        <v>41.4</v>
      </c>
      <c r="L141" s="70">
        <v>3.9</v>
      </c>
      <c r="M141" s="77">
        <f t="shared" si="0"/>
        <v>43.140170999999995</v>
      </c>
      <c r="N141" s="72">
        <f t="shared" si="1"/>
        <v>3.3899999999999997</v>
      </c>
      <c r="R141" s="79" t="s">
        <v>32</v>
      </c>
      <c r="S141" s="79"/>
      <c r="T141" s="79"/>
    </row>
    <row r="142" spans="2:22" x14ac:dyDescent="0.25">
      <c r="B142" s="69">
        <v>990</v>
      </c>
      <c r="C142" s="69">
        <v>67</v>
      </c>
      <c r="D142" s="70">
        <v>85</v>
      </c>
      <c r="E142" s="70">
        <v>41.6</v>
      </c>
      <c r="F142" s="70">
        <v>3.27</v>
      </c>
      <c r="H142" s="70">
        <v>1100</v>
      </c>
      <c r="I142" s="70">
        <v>67</v>
      </c>
      <c r="J142" s="70">
        <v>105</v>
      </c>
      <c r="K142" s="71">
        <v>37.5</v>
      </c>
      <c r="L142" s="70">
        <v>3.76</v>
      </c>
      <c r="M142" s="77">
        <f t="shared" si="0"/>
        <v>39.240171000000004</v>
      </c>
      <c r="N142" s="72">
        <f t="shared" si="1"/>
        <v>3.25</v>
      </c>
      <c r="R142" s="80"/>
      <c r="S142" s="80"/>
      <c r="T142" s="80"/>
    </row>
    <row r="143" spans="2:22" ht="15.75" thickBot="1" x14ac:dyDescent="0.3">
      <c r="B143" s="69">
        <v>990</v>
      </c>
      <c r="C143" s="69">
        <v>63</v>
      </c>
      <c r="D143" s="70">
        <v>85</v>
      </c>
      <c r="E143" s="70">
        <v>38.5</v>
      </c>
      <c r="F143" s="70">
        <v>3.19</v>
      </c>
      <c r="H143" s="70">
        <v>1100</v>
      </c>
      <c r="I143" s="70">
        <v>63</v>
      </c>
      <c r="J143" s="70">
        <v>105</v>
      </c>
      <c r="K143" s="71">
        <v>34.5</v>
      </c>
      <c r="L143" s="70">
        <v>3.65</v>
      </c>
      <c r="M143" s="77">
        <f t="shared" si="0"/>
        <v>36.240171000000004</v>
      </c>
      <c r="N143" s="72">
        <f t="shared" si="1"/>
        <v>3.1399999999999997</v>
      </c>
      <c r="R143" s="46" t="s">
        <v>30</v>
      </c>
      <c r="S143" s="46" t="s">
        <v>74</v>
      </c>
      <c r="T143" s="46" t="s">
        <v>72</v>
      </c>
    </row>
    <row r="144" spans="2:22" ht="15.75" thickTop="1" x14ac:dyDescent="0.25">
      <c r="B144" s="69">
        <v>990</v>
      </c>
      <c r="C144" s="69">
        <v>62</v>
      </c>
      <c r="D144" s="70">
        <v>85</v>
      </c>
      <c r="E144" s="70">
        <v>37.6</v>
      </c>
      <c r="F144" s="70">
        <v>3.17</v>
      </c>
      <c r="H144" s="70">
        <v>1100</v>
      </c>
      <c r="I144" s="70">
        <v>62</v>
      </c>
      <c r="J144" s="70">
        <v>105</v>
      </c>
      <c r="K144" s="71">
        <v>33.9</v>
      </c>
      <c r="L144" s="70">
        <v>3.63</v>
      </c>
      <c r="M144" s="77">
        <f t="shared" si="0"/>
        <v>35.640170999999995</v>
      </c>
      <c r="N144" s="72">
        <f t="shared" si="1"/>
        <v>3.12</v>
      </c>
      <c r="R144" s="65">
        <f>P131</f>
        <v>800</v>
      </c>
      <c r="S144" s="64">
        <f>T131</f>
        <v>38.94012</v>
      </c>
      <c r="T144" s="64">
        <f>V131</f>
        <v>2.9000000000000004</v>
      </c>
    </row>
    <row r="145" spans="2:20" x14ac:dyDescent="0.25">
      <c r="B145" s="69">
        <v>990</v>
      </c>
      <c r="C145" s="69">
        <v>57</v>
      </c>
      <c r="D145" s="70">
        <v>85</v>
      </c>
      <c r="E145" s="70">
        <v>35.5</v>
      </c>
      <c r="F145" s="70">
        <v>3.12</v>
      </c>
      <c r="H145" s="70">
        <v>1100</v>
      </c>
      <c r="I145" s="70">
        <v>57</v>
      </c>
      <c r="J145" s="70">
        <v>105</v>
      </c>
      <c r="K145" s="71">
        <v>33.4</v>
      </c>
      <c r="L145" s="70">
        <v>3.61</v>
      </c>
      <c r="M145" s="77">
        <f t="shared" si="0"/>
        <v>35.140170999999995</v>
      </c>
      <c r="N145" s="72">
        <f t="shared" si="1"/>
        <v>3.0999999999999996</v>
      </c>
      <c r="R145" s="65">
        <f>P132</f>
        <v>900</v>
      </c>
      <c r="S145" s="64">
        <f>T132</f>
        <v>40.040119999999995</v>
      </c>
      <c r="T145" s="64">
        <f>V132</f>
        <v>2.95</v>
      </c>
    </row>
    <row r="146" spans="2:20" x14ac:dyDescent="0.25">
      <c r="B146" s="69">
        <v>1100</v>
      </c>
      <c r="C146" s="69">
        <v>72</v>
      </c>
      <c r="D146" s="70">
        <v>85</v>
      </c>
      <c r="E146" s="70">
        <v>46.9</v>
      </c>
      <c r="F146" s="70">
        <v>3.41</v>
      </c>
      <c r="H146" s="70">
        <v>1100</v>
      </c>
      <c r="I146" s="70">
        <v>72</v>
      </c>
      <c r="J146" s="70">
        <v>115</v>
      </c>
      <c r="K146" s="71">
        <v>38.700000000000003</v>
      </c>
      <c r="L146" s="70">
        <v>4.13</v>
      </c>
      <c r="M146" s="77">
        <f t="shared" si="0"/>
        <v>40.440171000000007</v>
      </c>
      <c r="N146" s="72">
        <f t="shared" si="1"/>
        <v>3.62</v>
      </c>
      <c r="R146" s="65">
        <f>P133</f>
        <v>990</v>
      </c>
      <c r="S146" s="64">
        <f>T133</f>
        <v>40.94012</v>
      </c>
      <c r="T146" s="64">
        <f>V133</f>
        <v>2.99</v>
      </c>
    </row>
    <row r="147" spans="2:20" x14ac:dyDescent="0.25">
      <c r="B147" s="69">
        <v>1100</v>
      </c>
      <c r="C147" s="69">
        <v>67</v>
      </c>
      <c r="D147" s="70">
        <v>85</v>
      </c>
      <c r="E147" s="70">
        <v>42.5</v>
      </c>
      <c r="F147" s="70">
        <v>3.31</v>
      </c>
      <c r="H147" s="70">
        <v>1100</v>
      </c>
      <c r="I147" s="70">
        <v>67</v>
      </c>
      <c r="J147" s="70">
        <v>115</v>
      </c>
      <c r="K147" s="71">
        <v>34.9</v>
      </c>
      <c r="L147" s="70">
        <v>3.97</v>
      </c>
      <c r="M147" s="77">
        <f t="shared" si="0"/>
        <v>36.640170999999995</v>
      </c>
      <c r="N147" s="72">
        <f t="shared" si="1"/>
        <v>3.46</v>
      </c>
      <c r="R147" s="65">
        <f>P134</f>
        <v>1100</v>
      </c>
      <c r="S147" s="64">
        <f>T134</f>
        <v>41.740119999999997</v>
      </c>
      <c r="T147" s="64">
        <f>V134</f>
        <v>3.0300000000000002</v>
      </c>
    </row>
    <row r="148" spans="2:20" x14ac:dyDescent="0.25">
      <c r="B148" s="69">
        <v>1100</v>
      </c>
      <c r="C148" s="69">
        <v>63</v>
      </c>
      <c r="D148" s="70">
        <v>85</v>
      </c>
      <c r="E148" s="70">
        <v>39.299999999999997</v>
      </c>
      <c r="F148" s="70">
        <v>3.23</v>
      </c>
      <c r="H148" s="70">
        <v>1100</v>
      </c>
      <c r="I148" s="70">
        <v>63</v>
      </c>
      <c r="J148" s="70">
        <v>115</v>
      </c>
      <c r="K148" s="71">
        <v>32.1</v>
      </c>
      <c r="L148" s="70">
        <v>3.85</v>
      </c>
      <c r="M148" s="77">
        <f t="shared" si="0"/>
        <v>33.840170999999998</v>
      </c>
      <c r="N148" s="72">
        <f t="shared" si="1"/>
        <v>3.34</v>
      </c>
      <c r="R148" s="65">
        <f>P135</f>
        <v>1225</v>
      </c>
      <c r="S148" s="64">
        <f>T135</f>
        <v>42.540119999999995</v>
      </c>
      <c r="T148" s="64">
        <f>V135</f>
        <v>3.0700000000000003</v>
      </c>
    </row>
    <row r="149" spans="2:20" x14ac:dyDescent="0.25">
      <c r="B149" s="69">
        <v>1100</v>
      </c>
      <c r="C149" s="69">
        <v>62</v>
      </c>
      <c r="D149" s="70">
        <v>85</v>
      </c>
      <c r="E149" s="70">
        <v>38.6</v>
      </c>
      <c r="F149" s="70">
        <v>3.21</v>
      </c>
      <c r="H149" s="70">
        <v>1100</v>
      </c>
      <c r="I149" s="70">
        <v>62</v>
      </c>
      <c r="J149" s="70">
        <v>115</v>
      </c>
      <c r="K149" s="71">
        <v>31.6</v>
      </c>
      <c r="L149" s="70">
        <v>3.82</v>
      </c>
      <c r="M149" s="77">
        <f t="shared" si="0"/>
        <v>33.340170999999998</v>
      </c>
      <c r="N149" s="72">
        <f t="shared" si="1"/>
        <v>3.3099999999999996</v>
      </c>
    </row>
    <row r="150" spans="2:20" x14ac:dyDescent="0.25">
      <c r="B150" s="69">
        <v>1100</v>
      </c>
      <c r="C150" s="69">
        <v>57</v>
      </c>
      <c r="D150" s="70">
        <v>85</v>
      </c>
      <c r="E150" s="70">
        <v>37</v>
      </c>
      <c r="F150" s="70">
        <v>3.17</v>
      </c>
      <c r="H150" s="70">
        <v>1100</v>
      </c>
      <c r="I150" s="70">
        <v>57</v>
      </c>
      <c r="J150" s="70">
        <v>115</v>
      </c>
      <c r="K150" s="71">
        <v>31.5</v>
      </c>
      <c r="L150" s="70">
        <v>3.82</v>
      </c>
      <c r="M150" s="77">
        <f t="shared" si="0"/>
        <v>33.240171000000004</v>
      </c>
      <c r="N150" s="72">
        <f t="shared" si="1"/>
        <v>3.3099999999999996</v>
      </c>
    </row>
    <row r="151" spans="2:20" x14ac:dyDescent="0.25">
      <c r="B151" s="69">
        <v>1225</v>
      </c>
      <c r="C151" s="69">
        <v>72</v>
      </c>
      <c r="D151" s="70">
        <v>85</v>
      </c>
      <c r="E151" s="70">
        <v>47.8</v>
      </c>
      <c r="F151" s="70">
        <v>3.44</v>
      </c>
    </row>
    <row r="152" spans="2:20" x14ac:dyDescent="0.25">
      <c r="B152" s="69">
        <v>1225</v>
      </c>
      <c r="C152" s="69">
        <v>67</v>
      </c>
      <c r="D152" s="70">
        <v>85</v>
      </c>
      <c r="E152" s="70">
        <v>43.4</v>
      </c>
      <c r="F152" s="70">
        <v>3.35</v>
      </c>
    </row>
    <row r="153" spans="2:20" x14ac:dyDescent="0.25">
      <c r="B153" s="69">
        <v>1225</v>
      </c>
      <c r="C153" s="69">
        <v>63</v>
      </c>
      <c r="D153" s="70">
        <v>85</v>
      </c>
      <c r="E153" s="70">
        <v>40.200000000000003</v>
      </c>
      <c r="F153" s="70">
        <v>3.27</v>
      </c>
    </row>
    <row r="154" spans="2:20" x14ac:dyDescent="0.25">
      <c r="B154" s="69">
        <v>1225</v>
      </c>
      <c r="C154" s="69">
        <v>62</v>
      </c>
      <c r="D154" s="70">
        <v>85</v>
      </c>
      <c r="E154" s="70">
        <v>39.4</v>
      </c>
      <c r="F154" s="70">
        <v>3.25</v>
      </c>
      <c r="I154" s="81" t="s">
        <v>31</v>
      </c>
      <c r="J154" s="81"/>
      <c r="K154" s="81"/>
      <c r="L154" s="81"/>
      <c r="Q154" s="45"/>
    </row>
    <row r="155" spans="2:20" x14ac:dyDescent="0.25">
      <c r="B155" s="69">
        <v>1225</v>
      </c>
      <c r="C155" s="69">
        <v>57</v>
      </c>
      <c r="D155" s="70">
        <v>85</v>
      </c>
      <c r="E155" s="70">
        <v>38.5</v>
      </c>
      <c r="F155" s="70">
        <v>3.23</v>
      </c>
      <c r="I155" s="79" t="s">
        <v>33</v>
      </c>
      <c r="J155" s="79"/>
      <c r="K155" s="79"/>
      <c r="L155" s="79"/>
      <c r="Q155" s="48"/>
    </row>
    <row r="156" spans="2:20" x14ac:dyDescent="0.25">
      <c r="B156" s="69">
        <v>800</v>
      </c>
      <c r="C156" s="69">
        <v>72</v>
      </c>
      <c r="D156" s="70">
        <v>95</v>
      </c>
      <c r="E156" s="70">
        <v>41.2</v>
      </c>
      <c r="F156" s="70">
        <v>3.53</v>
      </c>
      <c r="I156" s="80"/>
      <c r="J156" s="80"/>
      <c r="K156" s="80"/>
      <c r="L156" s="80"/>
      <c r="Q156" s="49"/>
    </row>
    <row r="157" spans="2:20" ht="15.75" thickBot="1" x14ac:dyDescent="0.3">
      <c r="B157" s="69">
        <v>800</v>
      </c>
      <c r="C157" s="69">
        <v>67</v>
      </c>
      <c r="D157" s="70">
        <v>95</v>
      </c>
      <c r="E157" s="70">
        <v>37.200000000000003</v>
      </c>
      <c r="F157" s="70">
        <v>3.41</v>
      </c>
      <c r="I157" s="50" t="s">
        <v>73</v>
      </c>
      <c r="J157" s="50" t="s">
        <v>67</v>
      </c>
      <c r="K157" s="50" t="s">
        <v>74</v>
      </c>
      <c r="L157" s="50" t="s">
        <v>77</v>
      </c>
      <c r="Q157" s="51"/>
    </row>
    <row r="158" spans="2:20" ht="15.75" thickTop="1" x14ac:dyDescent="0.25">
      <c r="B158" s="69">
        <v>800</v>
      </c>
      <c r="C158" s="69">
        <v>63</v>
      </c>
      <c r="D158" s="70">
        <v>95</v>
      </c>
      <c r="E158" s="70">
        <v>34.299999999999997</v>
      </c>
      <c r="F158" s="70">
        <v>3.32</v>
      </c>
      <c r="I158" s="67">
        <f>I131</f>
        <v>72</v>
      </c>
      <c r="J158" s="67">
        <f t="shared" ref="J158" si="4">J131</f>
        <v>85</v>
      </c>
      <c r="K158" s="76">
        <f>M131</f>
        <v>48.640170999999995</v>
      </c>
      <c r="L158" s="68">
        <f>N131</f>
        <v>2.9000000000000004</v>
      </c>
    </row>
    <row r="159" spans="2:20" x14ac:dyDescent="0.25">
      <c r="B159" s="69">
        <v>800</v>
      </c>
      <c r="C159" s="69">
        <v>62</v>
      </c>
      <c r="D159" s="70">
        <v>95</v>
      </c>
      <c r="E159" s="70">
        <v>33.6</v>
      </c>
      <c r="F159" s="70">
        <v>3.29</v>
      </c>
      <c r="I159" s="67">
        <f t="shared" ref="I159:J159" si="5">I132</f>
        <v>67</v>
      </c>
      <c r="J159" s="67">
        <f t="shared" si="5"/>
        <v>85</v>
      </c>
      <c r="K159" s="76">
        <f t="shared" ref="K159:K177" si="6">M132</f>
        <v>44.240171000000004</v>
      </c>
      <c r="L159" s="68">
        <f t="shared" ref="L159:L177" si="7">N132</f>
        <v>2.8</v>
      </c>
    </row>
    <row r="160" spans="2:20" x14ac:dyDescent="0.25">
      <c r="B160" s="69">
        <v>800</v>
      </c>
      <c r="C160" s="69">
        <v>57</v>
      </c>
      <c r="D160" s="70">
        <v>95</v>
      </c>
      <c r="E160" s="70">
        <v>30.9</v>
      </c>
      <c r="F160" s="70">
        <v>3.21</v>
      </c>
      <c r="I160" s="67">
        <f t="shared" ref="I160:J160" si="8">I133</f>
        <v>63</v>
      </c>
      <c r="J160" s="67">
        <f t="shared" si="8"/>
        <v>85</v>
      </c>
      <c r="K160" s="76">
        <f t="shared" si="6"/>
        <v>41.040171000000001</v>
      </c>
      <c r="L160" s="68">
        <f t="shared" si="7"/>
        <v>2.7199999999999998</v>
      </c>
    </row>
    <row r="161" spans="2:12" x14ac:dyDescent="0.25">
      <c r="B161" s="69">
        <v>900</v>
      </c>
      <c r="C161" s="69">
        <v>72</v>
      </c>
      <c r="D161" s="70">
        <v>95</v>
      </c>
      <c r="E161" s="70">
        <v>42.4</v>
      </c>
      <c r="F161" s="70">
        <v>3.58</v>
      </c>
      <c r="I161" s="67">
        <f t="shared" ref="I161:J161" si="9">I134</f>
        <v>62</v>
      </c>
      <c r="J161" s="67">
        <f t="shared" si="9"/>
        <v>85</v>
      </c>
      <c r="K161" s="76">
        <f t="shared" si="6"/>
        <v>40.340170999999998</v>
      </c>
      <c r="L161" s="68">
        <f t="shared" si="7"/>
        <v>2.7</v>
      </c>
    </row>
    <row r="162" spans="2:12" x14ac:dyDescent="0.25">
      <c r="B162" s="69">
        <v>900</v>
      </c>
      <c r="C162" s="69">
        <v>67</v>
      </c>
      <c r="D162" s="70">
        <v>95</v>
      </c>
      <c r="E162" s="70">
        <v>38.299999999999997</v>
      </c>
      <c r="F162" s="70">
        <v>3.46</v>
      </c>
      <c r="I162" s="67">
        <f t="shared" ref="I162:J162" si="10">I135</f>
        <v>57</v>
      </c>
      <c r="J162" s="67">
        <f t="shared" si="10"/>
        <v>85</v>
      </c>
      <c r="K162" s="76">
        <f t="shared" si="6"/>
        <v>38.740171000000004</v>
      </c>
      <c r="L162" s="68">
        <f t="shared" si="7"/>
        <v>2.66</v>
      </c>
    </row>
    <row r="163" spans="2:12" x14ac:dyDescent="0.25">
      <c r="B163" s="69">
        <v>900</v>
      </c>
      <c r="C163" s="69">
        <v>63</v>
      </c>
      <c r="D163" s="70">
        <v>95</v>
      </c>
      <c r="E163" s="70">
        <v>35.4</v>
      </c>
      <c r="F163" s="70">
        <v>3.37</v>
      </c>
      <c r="I163" s="67">
        <f t="shared" ref="I163:J163" si="11">I136</f>
        <v>72</v>
      </c>
      <c r="J163" s="67">
        <f t="shared" si="11"/>
        <v>95</v>
      </c>
      <c r="K163" s="76">
        <f t="shared" si="6"/>
        <v>45.940171000000007</v>
      </c>
      <c r="L163" s="68">
        <f t="shared" si="7"/>
        <v>3.1500000000000004</v>
      </c>
    </row>
    <row r="164" spans="2:12" x14ac:dyDescent="0.25">
      <c r="B164" s="69">
        <v>900</v>
      </c>
      <c r="C164" s="69">
        <v>62</v>
      </c>
      <c r="D164" s="70">
        <v>95</v>
      </c>
      <c r="E164" s="70">
        <v>34.6</v>
      </c>
      <c r="F164" s="70">
        <v>3.34</v>
      </c>
      <c r="I164" s="67">
        <f t="shared" ref="I164:J164" si="12">I137</f>
        <v>67</v>
      </c>
      <c r="J164" s="67">
        <f t="shared" si="12"/>
        <v>95</v>
      </c>
      <c r="K164" s="76">
        <f t="shared" si="6"/>
        <v>41.740171000000004</v>
      </c>
      <c r="L164" s="68">
        <f t="shared" si="7"/>
        <v>3.0300000000000002</v>
      </c>
    </row>
    <row r="165" spans="2:12" x14ac:dyDescent="0.25">
      <c r="B165" s="69">
        <v>900</v>
      </c>
      <c r="C165" s="69">
        <v>57</v>
      </c>
      <c r="D165" s="70">
        <v>95</v>
      </c>
      <c r="E165" s="70">
        <v>32.5</v>
      </c>
      <c r="F165" s="70">
        <v>3.28</v>
      </c>
      <c r="I165" s="67">
        <f t="shared" ref="I165:J165" si="13">I138</f>
        <v>63</v>
      </c>
      <c r="J165" s="67">
        <f t="shared" si="13"/>
        <v>95</v>
      </c>
      <c r="K165" s="76">
        <f t="shared" si="6"/>
        <v>38.740171000000004</v>
      </c>
      <c r="L165" s="68">
        <f t="shared" si="7"/>
        <v>2.9400000000000004</v>
      </c>
    </row>
    <row r="166" spans="2:12" x14ac:dyDescent="0.25">
      <c r="B166" s="69">
        <v>990</v>
      </c>
      <c r="C166" s="69">
        <v>72</v>
      </c>
      <c r="D166" s="70">
        <v>95</v>
      </c>
      <c r="E166" s="70">
        <v>43.2</v>
      </c>
      <c r="F166" s="70">
        <v>3.62</v>
      </c>
      <c r="I166" s="67">
        <f t="shared" ref="I166:J166" si="14">I139</f>
        <v>62</v>
      </c>
      <c r="J166" s="67">
        <f t="shared" si="14"/>
        <v>95</v>
      </c>
      <c r="K166" s="76">
        <f t="shared" si="6"/>
        <v>37.940171000000007</v>
      </c>
      <c r="L166" s="68">
        <f t="shared" si="7"/>
        <v>2.92</v>
      </c>
    </row>
    <row r="167" spans="2:12" x14ac:dyDescent="0.25">
      <c r="B167" s="69">
        <v>990</v>
      </c>
      <c r="C167" s="69">
        <v>67</v>
      </c>
      <c r="D167" s="70">
        <v>95</v>
      </c>
      <c r="E167" s="70">
        <v>39.200000000000003</v>
      </c>
      <c r="F167" s="70">
        <v>3.5</v>
      </c>
      <c r="I167" s="67">
        <f t="shared" ref="I167:J167" si="15">I140</f>
        <v>57</v>
      </c>
      <c r="J167" s="67">
        <f t="shared" si="15"/>
        <v>95</v>
      </c>
      <c r="K167" s="76">
        <f t="shared" si="6"/>
        <v>36.940171000000007</v>
      </c>
      <c r="L167" s="68">
        <f t="shared" si="7"/>
        <v>2.88</v>
      </c>
    </row>
    <row r="168" spans="2:12" x14ac:dyDescent="0.25">
      <c r="B168" s="69">
        <v>990</v>
      </c>
      <c r="C168" s="69">
        <v>63</v>
      </c>
      <c r="D168" s="70">
        <v>95</v>
      </c>
      <c r="E168" s="70">
        <v>36.200000000000003</v>
      </c>
      <c r="F168" s="70">
        <v>3.41</v>
      </c>
      <c r="I168" s="67">
        <f t="shared" ref="I168:J168" si="16">I141</f>
        <v>72</v>
      </c>
      <c r="J168" s="67">
        <f t="shared" si="16"/>
        <v>105</v>
      </c>
      <c r="K168" s="76">
        <f t="shared" si="6"/>
        <v>43.140170999999995</v>
      </c>
      <c r="L168" s="68">
        <f t="shared" si="7"/>
        <v>3.3899999999999997</v>
      </c>
    </row>
    <row r="169" spans="2:12" x14ac:dyDescent="0.25">
      <c r="B169" s="69">
        <v>990</v>
      </c>
      <c r="C169" s="69">
        <v>62</v>
      </c>
      <c r="D169" s="70">
        <v>95</v>
      </c>
      <c r="E169" s="70">
        <v>35.4</v>
      </c>
      <c r="F169" s="70">
        <v>3.38</v>
      </c>
      <c r="I169" s="67">
        <f t="shared" ref="I169:J169" si="17">I142</f>
        <v>67</v>
      </c>
      <c r="J169" s="67">
        <f t="shared" si="17"/>
        <v>105</v>
      </c>
      <c r="K169" s="76">
        <f t="shared" si="6"/>
        <v>39.240171000000004</v>
      </c>
      <c r="L169" s="68">
        <f t="shared" si="7"/>
        <v>3.25</v>
      </c>
    </row>
    <row r="170" spans="2:12" x14ac:dyDescent="0.25">
      <c r="B170" s="69">
        <v>990</v>
      </c>
      <c r="C170" s="69">
        <v>57</v>
      </c>
      <c r="D170" s="70">
        <v>95</v>
      </c>
      <c r="E170" s="70">
        <v>33.799999999999997</v>
      </c>
      <c r="F170" s="70">
        <v>3.33</v>
      </c>
      <c r="I170" s="67">
        <f t="shared" ref="I170:J170" si="18">I143</f>
        <v>63</v>
      </c>
      <c r="J170" s="67">
        <f t="shared" si="18"/>
        <v>105</v>
      </c>
      <c r="K170" s="76">
        <f t="shared" si="6"/>
        <v>36.240171000000004</v>
      </c>
      <c r="L170" s="68">
        <f t="shared" si="7"/>
        <v>3.1399999999999997</v>
      </c>
    </row>
    <row r="171" spans="2:12" x14ac:dyDescent="0.25">
      <c r="B171" s="69">
        <v>1100</v>
      </c>
      <c r="C171" s="69">
        <v>72</v>
      </c>
      <c r="D171" s="70">
        <v>95</v>
      </c>
      <c r="E171" s="70">
        <v>44.2</v>
      </c>
      <c r="F171" s="70">
        <v>3.66</v>
      </c>
      <c r="I171" s="67">
        <f t="shared" ref="I171:J171" si="19">I144</f>
        <v>62</v>
      </c>
      <c r="J171" s="67">
        <f t="shared" si="19"/>
        <v>105</v>
      </c>
      <c r="K171" s="76">
        <f t="shared" si="6"/>
        <v>35.640170999999995</v>
      </c>
      <c r="L171" s="68">
        <f t="shared" si="7"/>
        <v>3.12</v>
      </c>
    </row>
    <row r="172" spans="2:12" x14ac:dyDescent="0.25">
      <c r="B172" s="69">
        <v>1100</v>
      </c>
      <c r="C172" s="69">
        <v>67</v>
      </c>
      <c r="D172" s="70">
        <v>95</v>
      </c>
      <c r="E172" s="70">
        <v>40</v>
      </c>
      <c r="F172" s="70">
        <v>3.54</v>
      </c>
      <c r="I172" s="67">
        <f t="shared" ref="I172:J172" si="20">I145</f>
        <v>57</v>
      </c>
      <c r="J172" s="67">
        <f t="shared" si="20"/>
        <v>105</v>
      </c>
      <c r="K172" s="76">
        <f t="shared" si="6"/>
        <v>35.140170999999995</v>
      </c>
      <c r="L172" s="68">
        <f t="shared" si="7"/>
        <v>3.0999999999999996</v>
      </c>
    </row>
    <row r="173" spans="2:12" x14ac:dyDescent="0.25">
      <c r="B173" s="69">
        <v>1100</v>
      </c>
      <c r="C173" s="69">
        <v>63</v>
      </c>
      <c r="D173" s="70">
        <v>95</v>
      </c>
      <c r="E173" s="70">
        <v>37</v>
      </c>
      <c r="F173" s="70">
        <v>3.45</v>
      </c>
      <c r="I173" s="67">
        <f t="shared" ref="I173:J173" si="21">I146</f>
        <v>72</v>
      </c>
      <c r="J173" s="67">
        <f t="shared" si="21"/>
        <v>115</v>
      </c>
      <c r="K173" s="76">
        <f t="shared" si="6"/>
        <v>40.440171000000007</v>
      </c>
      <c r="L173" s="68">
        <f t="shared" si="7"/>
        <v>3.62</v>
      </c>
    </row>
    <row r="174" spans="2:12" x14ac:dyDescent="0.25">
      <c r="B174" s="69">
        <v>1100</v>
      </c>
      <c r="C174" s="69">
        <v>62</v>
      </c>
      <c r="D174" s="70">
        <v>95</v>
      </c>
      <c r="E174" s="70">
        <v>36.200000000000003</v>
      </c>
      <c r="F174" s="70">
        <v>3.43</v>
      </c>
      <c r="I174" s="67">
        <f t="shared" ref="I174:J174" si="22">I147</f>
        <v>67</v>
      </c>
      <c r="J174" s="67">
        <f t="shared" si="22"/>
        <v>115</v>
      </c>
      <c r="K174" s="76">
        <f t="shared" si="6"/>
        <v>36.640170999999995</v>
      </c>
      <c r="L174" s="68">
        <f t="shared" si="7"/>
        <v>3.46</v>
      </c>
    </row>
    <row r="175" spans="2:12" x14ac:dyDescent="0.25">
      <c r="B175" s="69">
        <v>1100</v>
      </c>
      <c r="C175" s="69">
        <v>57</v>
      </c>
      <c r="D175" s="70">
        <v>95</v>
      </c>
      <c r="E175" s="70">
        <v>35.200000000000003</v>
      </c>
      <c r="F175" s="70">
        <v>3.39</v>
      </c>
      <c r="I175" s="67">
        <f t="shared" ref="I175:J175" si="23">I148</f>
        <v>63</v>
      </c>
      <c r="J175" s="67">
        <f t="shared" si="23"/>
        <v>115</v>
      </c>
      <c r="K175" s="76">
        <f t="shared" si="6"/>
        <v>33.840170999999998</v>
      </c>
      <c r="L175" s="68">
        <f t="shared" si="7"/>
        <v>3.34</v>
      </c>
    </row>
    <row r="176" spans="2:12" x14ac:dyDescent="0.25">
      <c r="B176" s="69">
        <v>1225</v>
      </c>
      <c r="C176" s="69">
        <v>72</v>
      </c>
      <c r="D176" s="70">
        <v>95</v>
      </c>
      <c r="E176" s="70">
        <v>45</v>
      </c>
      <c r="F176" s="70">
        <v>3.7</v>
      </c>
      <c r="I176" s="67">
        <f t="shared" ref="I176:J176" si="24">I149</f>
        <v>62</v>
      </c>
      <c r="J176" s="67">
        <f t="shared" si="24"/>
        <v>115</v>
      </c>
      <c r="K176" s="76">
        <f t="shared" si="6"/>
        <v>33.340170999999998</v>
      </c>
      <c r="L176" s="68">
        <f t="shared" si="7"/>
        <v>3.3099999999999996</v>
      </c>
    </row>
    <row r="177" spans="2:12" x14ac:dyDescent="0.25">
      <c r="B177" s="69">
        <v>1225</v>
      </c>
      <c r="C177" s="69">
        <v>67</v>
      </c>
      <c r="D177" s="70">
        <v>95</v>
      </c>
      <c r="E177" s="70">
        <v>40.799999999999997</v>
      </c>
      <c r="F177" s="70">
        <v>3.58</v>
      </c>
      <c r="I177" s="67">
        <f t="shared" ref="I177:J177" si="25">I150</f>
        <v>57</v>
      </c>
      <c r="J177" s="67">
        <f t="shared" si="25"/>
        <v>115</v>
      </c>
      <c r="K177" s="76">
        <f t="shared" si="6"/>
        <v>33.240171000000004</v>
      </c>
      <c r="L177" s="68">
        <f t="shared" si="7"/>
        <v>3.3099999999999996</v>
      </c>
    </row>
    <row r="178" spans="2:12" x14ac:dyDescent="0.25">
      <c r="B178" s="69">
        <v>1225</v>
      </c>
      <c r="C178" s="69">
        <v>63</v>
      </c>
      <c r="D178" s="70">
        <v>95</v>
      </c>
      <c r="E178" s="70">
        <v>37.700000000000003</v>
      </c>
      <c r="F178" s="70">
        <v>3.49</v>
      </c>
      <c r="L178" s="45"/>
    </row>
    <row r="179" spans="2:12" x14ac:dyDescent="0.25">
      <c r="B179" s="69">
        <v>1225</v>
      </c>
      <c r="C179" s="69">
        <v>62</v>
      </c>
      <c r="D179" s="70">
        <v>95</v>
      </c>
      <c r="E179" s="70">
        <v>37</v>
      </c>
      <c r="F179" s="70">
        <v>3.47</v>
      </c>
      <c r="L179" s="45"/>
    </row>
    <row r="180" spans="2:12" x14ac:dyDescent="0.25">
      <c r="B180" s="69">
        <v>1225</v>
      </c>
      <c r="C180" s="69">
        <v>57</v>
      </c>
      <c r="D180" s="70">
        <v>95</v>
      </c>
      <c r="E180" s="70">
        <v>36.6</v>
      </c>
      <c r="F180" s="70">
        <v>3.46</v>
      </c>
    </row>
    <row r="181" spans="2:12" x14ac:dyDescent="0.25">
      <c r="B181" s="69">
        <v>800</v>
      </c>
      <c r="C181" s="69">
        <v>72</v>
      </c>
      <c r="D181" s="70">
        <v>105</v>
      </c>
      <c r="E181" s="70">
        <v>38.799999999999997</v>
      </c>
      <c r="F181" s="70">
        <v>3.76</v>
      </c>
    </row>
    <row r="182" spans="2:12" x14ac:dyDescent="0.25">
      <c r="B182" s="69">
        <v>800</v>
      </c>
      <c r="C182" s="69">
        <v>67</v>
      </c>
      <c r="D182" s="70">
        <v>105</v>
      </c>
      <c r="E182" s="70">
        <v>34.9</v>
      </c>
      <c r="F182" s="70">
        <v>3.62</v>
      </c>
    </row>
    <row r="183" spans="2:12" x14ac:dyDescent="0.25">
      <c r="B183" s="69">
        <v>800</v>
      </c>
      <c r="C183" s="69">
        <v>63</v>
      </c>
      <c r="D183" s="70">
        <v>105</v>
      </c>
      <c r="E183" s="70">
        <v>32.200000000000003</v>
      </c>
      <c r="F183" s="70">
        <v>3.52</v>
      </c>
    </row>
    <row r="184" spans="2:12" x14ac:dyDescent="0.25">
      <c r="B184" s="69">
        <v>800</v>
      </c>
      <c r="C184" s="69">
        <v>62</v>
      </c>
      <c r="D184" s="70">
        <v>105</v>
      </c>
      <c r="E184" s="70">
        <v>31.5</v>
      </c>
      <c r="F184" s="70">
        <v>3.49</v>
      </c>
    </row>
    <row r="185" spans="2:12" x14ac:dyDescent="0.25">
      <c r="B185" s="69">
        <v>800</v>
      </c>
      <c r="C185" s="69">
        <v>57</v>
      </c>
      <c r="D185" s="70">
        <v>105</v>
      </c>
      <c r="E185" s="70">
        <v>29.4</v>
      </c>
      <c r="F185" s="70">
        <v>3.4</v>
      </c>
    </row>
    <row r="186" spans="2:12" x14ac:dyDescent="0.25">
      <c r="B186" s="69">
        <v>900</v>
      </c>
      <c r="C186" s="69">
        <v>72</v>
      </c>
      <c r="D186" s="70">
        <v>105</v>
      </c>
      <c r="E186" s="70">
        <v>39.9</v>
      </c>
      <c r="F186" s="70">
        <v>3.81</v>
      </c>
    </row>
    <row r="187" spans="2:12" x14ac:dyDescent="0.25">
      <c r="B187" s="69">
        <v>900</v>
      </c>
      <c r="C187" s="69">
        <v>67</v>
      </c>
      <c r="D187" s="70">
        <v>105</v>
      </c>
      <c r="E187" s="70">
        <v>36</v>
      </c>
      <c r="F187" s="70">
        <v>3.68</v>
      </c>
    </row>
    <row r="188" spans="2:12" x14ac:dyDescent="0.25">
      <c r="B188" s="69">
        <v>900</v>
      </c>
      <c r="C188" s="69">
        <v>63</v>
      </c>
      <c r="D188" s="70">
        <v>105</v>
      </c>
      <c r="E188" s="70">
        <v>33.200000000000003</v>
      </c>
      <c r="F188" s="70">
        <v>3.57</v>
      </c>
    </row>
    <row r="189" spans="2:12" x14ac:dyDescent="0.25">
      <c r="B189" s="69">
        <v>900</v>
      </c>
      <c r="C189" s="69">
        <v>62</v>
      </c>
      <c r="D189" s="70">
        <v>105</v>
      </c>
      <c r="E189" s="70">
        <v>32.4</v>
      </c>
      <c r="F189" s="70">
        <v>3.54</v>
      </c>
    </row>
    <row r="190" spans="2:12" x14ac:dyDescent="0.25">
      <c r="B190" s="69">
        <v>900</v>
      </c>
      <c r="C190" s="69">
        <v>57</v>
      </c>
      <c r="D190" s="70">
        <v>105</v>
      </c>
      <c r="E190" s="70">
        <v>30.9</v>
      </c>
      <c r="F190" s="70">
        <v>3.48</v>
      </c>
    </row>
    <row r="191" spans="2:12" x14ac:dyDescent="0.25">
      <c r="B191" s="69">
        <v>990</v>
      </c>
      <c r="C191" s="69">
        <v>72</v>
      </c>
      <c r="D191" s="70">
        <v>105</v>
      </c>
      <c r="E191" s="70">
        <v>40.6</v>
      </c>
      <c r="F191" s="70">
        <v>3.86</v>
      </c>
    </row>
    <row r="192" spans="2:12" x14ac:dyDescent="0.25">
      <c r="B192" s="69">
        <v>990</v>
      </c>
      <c r="C192" s="69">
        <v>67</v>
      </c>
      <c r="D192" s="70">
        <v>105</v>
      </c>
      <c r="E192" s="70">
        <v>36.700000000000003</v>
      </c>
      <c r="F192" s="70">
        <v>3.72</v>
      </c>
    </row>
    <row r="193" spans="2:6" x14ac:dyDescent="0.25">
      <c r="B193" s="69">
        <v>990</v>
      </c>
      <c r="C193" s="69">
        <v>63</v>
      </c>
      <c r="D193" s="70">
        <v>105</v>
      </c>
      <c r="E193" s="70">
        <v>33.9</v>
      </c>
      <c r="F193" s="70">
        <v>3.61</v>
      </c>
    </row>
    <row r="194" spans="2:6" x14ac:dyDescent="0.25">
      <c r="B194" s="69">
        <v>990</v>
      </c>
      <c r="C194" s="69">
        <v>62</v>
      </c>
      <c r="D194" s="70">
        <v>105</v>
      </c>
      <c r="E194" s="70">
        <v>33.200000000000003</v>
      </c>
      <c r="F194" s="70">
        <v>3.58</v>
      </c>
    </row>
    <row r="195" spans="2:6" x14ac:dyDescent="0.25">
      <c r="B195" s="69">
        <v>990</v>
      </c>
      <c r="C195" s="69">
        <v>57</v>
      </c>
      <c r="D195" s="70">
        <v>105</v>
      </c>
      <c r="E195" s="70">
        <v>32.1</v>
      </c>
      <c r="F195" s="70">
        <v>3.54</v>
      </c>
    </row>
    <row r="196" spans="2:6" x14ac:dyDescent="0.25">
      <c r="B196" s="69">
        <v>1100</v>
      </c>
      <c r="C196" s="69">
        <v>72</v>
      </c>
      <c r="D196" s="70">
        <v>105</v>
      </c>
      <c r="E196" s="70">
        <v>41.4</v>
      </c>
      <c r="F196" s="70">
        <v>3.9</v>
      </c>
    </row>
    <row r="197" spans="2:6" x14ac:dyDescent="0.25">
      <c r="B197" s="69">
        <v>1100</v>
      </c>
      <c r="C197" s="69">
        <v>67</v>
      </c>
      <c r="D197" s="70">
        <v>105</v>
      </c>
      <c r="E197" s="70">
        <v>37.5</v>
      </c>
      <c r="F197" s="70">
        <v>3.76</v>
      </c>
    </row>
    <row r="198" spans="2:6" x14ac:dyDescent="0.25">
      <c r="B198" s="69">
        <v>1100</v>
      </c>
      <c r="C198" s="69">
        <v>63</v>
      </c>
      <c r="D198" s="70">
        <v>105</v>
      </c>
      <c r="E198" s="70">
        <v>34.5</v>
      </c>
      <c r="F198" s="70">
        <v>3.65</v>
      </c>
    </row>
    <row r="199" spans="2:6" x14ac:dyDescent="0.25">
      <c r="B199" s="69">
        <v>1100</v>
      </c>
      <c r="C199" s="69">
        <v>62</v>
      </c>
      <c r="D199" s="70">
        <v>105</v>
      </c>
      <c r="E199" s="70">
        <v>33.9</v>
      </c>
      <c r="F199" s="70">
        <v>3.63</v>
      </c>
    </row>
    <row r="200" spans="2:6" x14ac:dyDescent="0.25">
      <c r="B200" s="69">
        <v>1100</v>
      </c>
      <c r="C200" s="69">
        <v>57</v>
      </c>
      <c r="D200" s="70">
        <v>105</v>
      </c>
      <c r="E200" s="70">
        <v>33.4</v>
      </c>
      <c r="F200" s="70">
        <v>3.61</v>
      </c>
    </row>
    <row r="201" spans="2:6" x14ac:dyDescent="0.25">
      <c r="B201" s="69">
        <v>1225</v>
      </c>
      <c r="C201" s="69">
        <v>72</v>
      </c>
      <c r="D201" s="70">
        <v>105</v>
      </c>
      <c r="E201" s="70">
        <v>42.2</v>
      </c>
      <c r="F201" s="70">
        <v>3.94</v>
      </c>
    </row>
    <row r="202" spans="2:6" x14ac:dyDescent="0.25">
      <c r="B202" s="69">
        <v>1225</v>
      </c>
      <c r="C202" s="69">
        <v>67</v>
      </c>
      <c r="D202" s="70">
        <v>105</v>
      </c>
      <c r="E202" s="70">
        <v>38.1</v>
      </c>
      <c r="F202" s="70">
        <v>3.81</v>
      </c>
    </row>
    <row r="203" spans="2:6" x14ac:dyDescent="0.25">
      <c r="B203" s="69">
        <v>1225</v>
      </c>
      <c r="C203" s="69">
        <v>63</v>
      </c>
      <c r="D203" s="70">
        <v>105</v>
      </c>
      <c r="E203" s="70">
        <v>35.200000000000003</v>
      </c>
      <c r="F203" s="70">
        <v>3.7</v>
      </c>
    </row>
    <row r="204" spans="2:6" x14ac:dyDescent="0.25">
      <c r="B204" s="69">
        <v>1225</v>
      </c>
      <c r="C204" s="69">
        <v>62</v>
      </c>
      <c r="D204" s="70">
        <v>105</v>
      </c>
      <c r="E204" s="70">
        <v>34.700000000000003</v>
      </c>
      <c r="F204" s="70">
        <v>3.68</v>
      </c>
    </row>
    <row r="205" spans="2:6" x14ac:dyDescent="0.25">
      <c r="B205" s="69">
        <v>1225</v>
      </c>
      <c r="C205" s="69">
        <v>57</v>
      </c>
      <c r="D205" s="70">
        <v>105</v>
      </c>
      <c r="E205" s="70">
        <v>34.700000000000003</v>
      </c>
      <c r="F205" s="70">
        <v>3.68</v>
      </c>
    </row>
    <row r="206" spans="2:6" x14ac:dyDescent="0.25">
      <c r="B206" s="69">
        <v>800</v>
      </c>
      <c r="C206" s="69">
        <v>72</v>
      </c>
      <c r="D206" s="70">
        <v>115</v>
      </c>
      <c r="E206" s="70">
        <v>36.299999999999997</v>
      </c>
      <c r="F206" s="70">
        <v>3.99</v>
      </c>
    </row>
    <row r="207" spans="2:6" x14ac:dyDescent="0.25">
      <c r="B207" s="69">
        <v>800</v>
      </c>
      <c r="C207" s="69">
        <v>67</v>
      </c>
      <c r="D207" s="70">
        <v>115</v>
      </c>
      <c r="E207" s="70">
        <v>32.700000000000003</v>
      </c>
      <c r="F207" s="70">
        <v>3.83</v>
      </c>
    </row>
    <row r="208" spans="2:6" x14ac:dyDescent="0.25">
      <c r="B208" s="69">
        <v>800</v>
      </c>
      <c r="C208" s="69">
        <v>63</v>
      </c>
      <c r="D208" s="70">
        <v>115</v>
      </c>
      <c r="E208" s="70">
        <v>30.1</v>
      </c>
      <c r="F208" s="70">
        <v>3.7</v>
      </c>
    </row>
    <row r="209" spans="2:7" x14ac:dyDescent="0.25">
      <c r="B209" s="69">
        <v>800</v>
      </c>
      <c r="C209" s="69">
        <v>62</v>
      </c>
      <c r="D209" s="70">
        <v>115</v>
      </c>
      <c r="E209" s="70">
        <v>29.4</v>
      </c>
      <c r="F209" s="70">
        <v>3.67</v>
      </c>
    </row>
    <row r="210" spans="2:7" x14ac:dyDescent="0.25">
      <c r="B210" s="69">
        <v>800</v>
      </c>
      <c r="C210" s="69">
        <v>57</v>
      </c>
      <c r="D210" s="70">
        <v>115</v>
      </c>
      <c r="E210" s="70">
        <v>27.8</v>
      </c>
      <c r="F210" s="70">
        <v>3.6</v>
      </c>
    </row>
    <row r="211" spans="2:7" x14ac:dyDescent="0.25">
      <c r="B211" s="69">
        <v>900</v>
      </c>
      <c r="C211" s="69">
        <v>72</v>
      </c>
      <c r="D211" s="70">
        <v>115</v>
      </c>
      <c r="E211" s="70">
        <v>37.299999999999997</v>
      </c>
      <c r="F211" s="70">
        <v>4.04</v>
      </c>
    </row>
    <row r="212" spans="2:7" x14ac:dyDescent="0.25">
      <c r="B212" s="69">
        <v>900</v>
      </c>
      <c r="C212" s="69">
        <v>67</v>
      </c>
      <c r="D212" s="70">
        <v>115</v>
      </c>
      <c r="E212" s="70">
        <v>33.6</v>
      </c>
      <c r="F212" s="70">
        <v>3.88</v>
      </c>
    </row>
    <row r="213" spans="2:7" x14ac:dyDescent="0.25">
      <c r="B213" s="69">
        <v>900</v>
      </c>
      <c r="C213" s="69">
        <v>63</v>
      </c>
      <c r="D213" s="70">
        <v>115</v>
      </c>
      <c r="E213" s="70">
        <v>30.9</v>
      </c>
      <c r="F213" s="70">
        <v>3.76</v>
      </c>
    </row>
    <row r="214" spans="2:7" x14ac:dyDescent="0.25">
      <c r="B214" s="69">
        <v>900</v>
      </c>
      <c r="C214" s="69">
        <v>62</v>
      </c>
      <c r="D214" s="70">
        <v>115</v>
      </c>
      <c r="E214" s="70">
        <v>30.2</v>
      </c>
      <c r="F214" s="70">
        <v>3.73</v>
      </c>
    </row>
    <row r="215" spans="2:7" x14ac:dyDescent="0.25">
      <c r="B215" s="69">
        <v>900</v>
      </c>
      <c r="C215" s="69">
        <v>57</v>
      </c>
      <c r="D215" s="70">
        <v>115</v>
      </c>
      <c r="E215" s="70">
        <v>29.2</v>
      </c>
      <c r="F215" s="70">
        <v>3.68</v>
      </c>
    </row>
    <row r="216" spans="2:7" x14ac:dyDescent="0.25">
      <c r="B216" s="69">
        <v>990</v>
      </c>
      <c r="C216" s="69">
        <v>72</v>
      </c>
      <c r="D216" s="70">
        <v>115</v>
      </c>
      <c r="E216" s="70">
        <v>37.9</v>
      </c>
      <c r="F216" s="70">
        <v>4.08</v>
      </c>
    </row>
    <row r="217" spans="2:7" x14ac:dyDescent="0.25">
      <c r="B217" s="69">
        <v>990</v>
      </c>
      <c r="C217" s="69">
        <v>67</v>
      </c>
      <c r="D217" s="70">
        <v>115</v>
      </c>
      <c r="E217" s="70">
        <v>34.200000000000003</v>
      </c>
      <c r="F217" s="70">
        <v>3.92</v>
      </c>
    </row>
    <row r="218" spans="2:7" x14ac:dyDescent="0.25">
      <c r="B218" s="69">
        <v>990</v>
      </c>
      <c r="C218" s="69">
        <v>63</v>
      </c>
      <c r="D218" s="70">
        <v>115</v>
      </c>
      <c r="E218" s="70">
        <v>31.5</v>
      </c>
      <c r="F218" s="70">
        <v>3.8</v>
      </c>
    </row>
    <row r="221" spans="2:7" ht="18.75" x14ac:dyDescent="0.3">
      <c r="B221" s="36" t="s">
        <v>34</v>
      </c>
      <c r="C221" s="36"/>
    </row>
    <row r="222" spans="2:7" x14ac:dyDescent="0.25">
      <c r="B222" s="37" t="s">
        <v>35</v>
      </c>
      <c r="C222" s="39"/>
      <c r="D222" s="39"/>
    </row>
    <row r="223" spans="2:7" x14ac:dyDescent="0.25">
      <c r="B223" s="37" t="s">
        <v>36</v>
      </c>
      <c r="C223" s="39"/>
      <c r="D223" s="39"/>
      <c r="E223" s="39"/>
      <c r="F223" s="39"/>
      <c r="G223" s="39"/>
    </row>
    <row r="239" spans="15:19" x14ac:dyDescent="0.25">
      <c r="O239" s="37" t="s">
        <v>37</v>
      </c>
      <c r="P239" s="39"/>
      <c r="Q239" s="39"/>
      <c r="R239" s="42">
        <f>250</f>
        <v>250</v>
      </c>
      <c r="S239" t="s">
        <v>23</v>
      </c>
    </row>
    <row r="241" spans="2:21" x14ac:dyDescent="0.25">
      <c r="B241" s="37" t="s">
        <v>26</v>
      </c>
      <c r="C241" s="37"/>
      <c r="D241" s="37"/>
      <c r="E241" s="37"/>
      <c r="H241" s="37" t="s">
        <v>38</v>
      </c>
      <c r="I241" s="37"/>
      <c r="J241" s="37"/>
      <c r="K241" s="37"/>
      <c r="L241" s="37"/>
      <c r="M241" s="37"/>
      <c r="O241" s="37" t="s">
        <v>25</v>
      </c>
      <c r="P241" s="37"/>
      <c r="Q241" s="37"/>
      <c r="R241" s="37"/>
      <c r="S241" s="37"/>
      <c r="T241" s="37"/>
      <c r="U241" s="37"/>
    </row>
    <row r="242" spans="2:21" x14ac:dyDescent="0.25">
      <c r="H242" s="37" t="s">
        <v>39</v>
      </c>
      <c r="I242" s="37"/>
      <c r="J242" s="37"/>
      <c r="K242" s="37"/>
      <c r="L242" s="37"/>
      <c r="M242" s="37"/>
      <c r="O242" s="37" t="s">
        <v>28</v>
      </c>
      <c r="P242" s="37"/>
      <c r="Q242" s="37"/>
      <c r="R242" s="37"/>
      <c r="S242" s="37"/>
      <c r="T242" s="37"/>
    </row>
    <row r="243" spans="2:21" ht="15.75" thickBot="1" x14ac:dyDescent="0.3">
      <c r="B243" s="46" t="s">
        <v>73</v>
      </c>
      <c r="C243" s="46" t="s">
        <v>67</v>
      </c>
      <c r="D243" s="46" t="s">
        <v>30</v>
      </c>
      <c r="E243" s="46" t="s">
        <v>71</v>
      </c>
      <c r="F243" s="46" t="s">
        <v>77</v>
      </c>
      <c r="H243" s="46" t="s">
        <v>73</v>
      </c>
      <c r="I243" s="46" t="s">
        <v>67</v>
      </c>
      <c r="J243" s="46" t="s">
        <v>71</v>
      </c>
      <c r="K243" s="46" t="s">
        <v>78</v>
      </c>
      <c r="L243" s="46" t="s">
        <v>77</v>
      </c>
      <c r="O243" s="46" t="s">
        <v>73</v>
      </c>
      <c r="P243" s="46" t="s">
        <v>67</v>
      </c>
      <c r="Q243" s="46" t="s">
        <v>30</v>
      </c>
      <c r="R243" s="46" t="s">
        <v>75</v>
      </c>
      <c r="S243" s="46" t="s">
        <v>78</v>
      </c>
      <c r="T243" s="46" t="s">
        <v>77</v>
      </c>
    </row>
    <row r="244" spans="2:21" ht="15.75" thickTop="1" x14ac:dyDescent="0.25">
      <c r="B244" s="41">
        <v>63</v>
      </c>
      <c r="C244">
        <f>85</f>
        <v>85</v>
      </c>
      <c r="D244">
        <v>960</v>
      </c>
      <c r="E244">
        <v>35.200000000000003</v>
      </c>
      <c r="F244">
        <v>2.2599999999999998</v>
      </c>
      <c r="H244" s="41">
        <v>63</v>
      </c>
      <c r="I244" s="41">
        <v>85</v>
      </c>
      <c r="J244" s="42">
        <v>36.700000000000003</v>
      </c>
      <c r="K244" s="41">
        <v>2.27</v>
      </c>
      <c r="L244" s="47">
        <f>$K244+$R$239/1000</f>
        <v>2.52</v>
      </c>
      <c r="O244" s="41">
        <v>67</v>
      </c>
      <c r="P244" s="41">
        <v>95</v>
      </c>
      <c r="Q244" s="41">
        <v>960</v>
      </c>
      <c r="R244" s="43">
        <v>35.799999999999997</v>
      </c>
      <c r="S244" s="43">
        <v>2.58</v>
      </c>
      <c r="T244" s="47">
        <f>$S244+$R$239/1000</f>
        <v>2.83</v>
      </c>
    </row>
    <row r="245" spans="2:21" x14ac:dyDescent="0.25">
      <c r="B245" s="41">
        <v>63</v>
      </c>
      <c r="C245">
        <f>85</f>
        <v>85</v>
      </c>
      <c r="D245">
        <v>1200</v>
      </c>
      <c r="E245">
        <v>36.700000000000003</v>
      </c>
      <c r="F245">
        <v>2.27</v>
      </c>
      <c r="H245" s="41">
        <v>67</v>
      </c>
      <c r="I245" s="41">
        <v>85</v>
      </c>
      <c r="J245" s="42">
        <v>39</v>
      </c>
      <c r="K245" s="41">
        <v>2.2799999999999998</v>
      </c>
      <c r="L245" s="47">
        <f t="shared" ref="L245:L255" si="26">$K245+$R$239/1000</f>
        <v>2.5299999999999998</v>
      </c>
      <c r="O245" s="41">
        <v>67</v>
      </c>
      <c r="P245" s="41">
        <v>95</v>
      </c>
      <c r="Q245" s="41">
        <v>1200</v>
      </c>
      <c r="R245" s="43">
        <v>37.1</v>
      </c>
      <c r="S245" s="43">
        <v>2.59</v>
      </c>
      <c r="T245" s="47">
        <f t="shared" ref="T245:T246" si="27">$S245+$R$239/1000</f>
        <v>2.84</v>
      </c>
    </row>
    <row r="246" spans="2:21" x14ac:dyDescent="0.25">
      <c r="B246" s="41">
        <v>63</v>
      </c>
      <c r="C246">
        <f>85</f>
        <v>85</v>
      </c>
      <c r="D246">
        <v>1440</v>
      </c>
      <c r="E246">
        <v>37.9</v>
      </c>
      <c r="F246">
        <v>2.2799999999999998</v>
      </c>
      <c r="H246" s="41">
        <v>71</v>
      </c>
      <c r="I246" s="41">
        <v>85</v>
      </c>
      <c r="J246" s="42">
        <v>41.5</v>
      </c>
      <c r="K246" s="41">
        <v>2.31</v>
      </c>
      <c r="L246" s="47">
        <f t="shared" si="26"/>
        <v>2.56</v>
      </c>
      <c r="O246" s="41">
        <v>67</v>
      </c>
      <c r="P246" s="41">
        <v>95</v>
      </c>
      <c r="Q246" s="41">
        <v>1440</v>
      </c>
      <c r="R246" s="43">
        <v>37.9</v>
      </c>
      <c r="S246" s="43">
        <v>2.6</v>
      </c>
      <c r="T246" s="47">
        <f t="shared" si="27"/>
        <v>2.85</v>
      </c>
    </row>
    <row r="247" spans="2:21" x14ac:dyDescent="0.25">
      <c r="B247" s="41">
        <v>67</v>
      </c>
      <c r="C247">
        <f>85</f>
        <v>85</v>
      </c>
      <c r="D247">
        <v>960</v>
      </c>
      <c r="E247">
        <v>37.6</v>
      </c>
      <c r="F247">
        <v>2.2799999999999998</v>
      </c>
      <c r="H247" s="41">
        <v>63</v>
      </c>
      <c r="I247" s="41">
        <v>95</v>
      </c>
      <c r="J247" s="42">
        <v>34.9</v>
      </c>
      <c r="K247" s="41">
        <v>2.58</v>
      </c>
      <c r="L247" s="47">
        <f t="shared" si="26"/>
        <v>2.83</v>
      </c>
      <c r="S247" s="49"/>
    </row>
    <row r="248" spans="2:21" x14ac:dyDescent="0.25">
      <c r="B248" s="41">
        <v>67</v>
      </c>
      <c r="C248">
        <f>85</f>
        <v>85</v>
      </c>
      <c r="D248">
        <v>1200</v>
      </c>
      <c r="E248">
        <v>39</v>
      </c>
      <c r="F248">
        <v>2.2799999999999998</v>
      </c>
      <c r="H248" s="41">
        <v>67</v>
      </c>
      <c r="I248" s="41">
        <v>95</v>
      </c>
      <c r="J248" s="42">
        <v>37.1</v>
      </c>
      <c r="K248" s="41">
        <v>2.59</v>
      </c>
      <c r="L248" s="47">
        <f t="shared" si="26"/>
        <v>2.84</v>
      </c>
      <c r="S248" s="49"/>
    </row>
    <row r="249" spans="2:21" x14ac:dyDescent="0.25">
      <c r="B249" s="41">
        <v>67</v>
      </c>
      <c r="C249">
        <f>85</f>
        <v>85</v>
      </c>
      <c r="D249">
        <v>1440</v>
      </c>
      <c r="E249">
        <v>39.9</v>
      </c>
      <c r="F249">
        <v>2.29</v>
      </c>
      <c r="H249" s="41">
        <v>71</v>
      </c>
      <c r="I249" s="41">
        <v>95</v>
      </c>
      <c r="J249" s="42">
        <v>39.5</v>
      </c>
      <c r="K249" s="41">
        <v>2.62</v>
      </c>
      <c r="L249" s="47">
        <f t="shared" si="26"/>
        <v>2.87</v>
      </c>
      <c r="Q249" s="81" t="s">
        <v>31</v>
      </c>
      <c r="R249" s="81"/>
      <c r="S249" s="81"/>
    </row>
    <row r="250" spans="2:21" x14ac:dyDescent="0.25">
      <c r="B250" s="41">
        <v>71</v>
      </c>
      <c r="C250">
        <f>85</f>
        <v>85</v>
      </c>
      <c r="D250">
        <v>960</v>
      </c>
      <c r="E250">
        <v>40.200000000000003</v>
      </c>
      <c r="F250">
        <v>2.2999999999999998</v>
      </c>
      <c r="H250" s="41">
        <v>63</v>
      </c>
      <c r="I250" s="41">
        <v>105</v>
      </c>
      <c r="J250" s="42">
        <v>33.1</v>
      </c>
      <c r="K250" s="41">
        <v>2.93</v>
      </c>
      <c r="L250" s="47">
        <f t="shared" si="26"/>
        <v>3.18</v>
      </c>
      <c r="Q250" s="79" t="s">
        <v>32</v>
      </c>
      <c r="R250" s="79"/>
      <c r="S250" s="79"/>
    </row>
    <row r="251" spans="2:21" x14ac:dyDescent="0.25">
      <c r="B251" s="41">
        <v>71</v>
      </c>
      <c r="C251">
        <f>85</f>
        <v>85</v>
      </c>
      <c r="D251">
        <v>1200</v>
      </c>
      <c r="E251">
        <v>41.5</v>
      </c>
      <c r="F251">
        <v>2.31</v>
      </c>
      <c r="H251" s="41">
        <v>67</v>
      </c>
      <c r="I251" s="41">
        <v>105</v>
      </c>
      <c r="J251" s="42">
        <v>35</v>
      </c>
      <c r="K251" s="41">
        <v>2.94</v>
      </c>
      <c r="L251" s="47">
        <f t="shared" si="26"/>
        <v>3.19</v>
      </c>
      <c r="Q251" s="80"/>
      <c r="R251" s="80"/>
      <c r="S251" s="80"/>
    </row>
    <row r="252" spans="2:21" ht="15.75" thickBot="1" x14ac:dyDescent="0.3">
      <c r="B252" s="41">
        <v>71</v>
      </c>
      <c r="C252">
        <f>85</f>
        <v>85</v>
      </c>
      <c r="D252">
        <v>1440</v>
      </c>
      <c r="E252">
        <v>42.4</v>
      </c>
      <c r="F252">
        <v>2.31</v>
      </c>
      <c r="H252" s="41">
        <v>71</v>
      </c>
      <c r="I252" s="41">
        <v>105</v>
      </c>
      <c r="J252" s="42">
        <v>37.4</v>
      </c>
      <c r="K252" s="41">
        <v>2.97</v>
      </c>
      <c r="L252" s="47">
        <f t="shared" si="26"/>
        <v>3.22</v>
      </c>
      <c r="Q252" s="52" t="s">
        <v>79</v>
      </c>
      <c r="R252" s="52" t="s">
        <v>74</v>
      </c>
      <c r="S252" s="52" t="s">
        <v>77</v>
      </c>
    </row>
    <row r="253" spans="2:21" ht="15.75" thickTop="1" x14ac:dyDescent="0.25">
      <c r="B253" s="41">
        <v>63</v>
      </c>
      <c r="C253">
        <v>95</v>
      </c>
      <c r="D253">
        <v>960</v>
      </c>
      <c r="E253">
        <v>33.6</v>
      </c>
      <c r="F253">
        <v>2.57</v>
      </c>
      <c r="H253" s="41">
        <v>63</v>
      </c>
      <c r="I253" s="41">
        <v>115</v>
      </c>
      <c r="J253" s="42">
        <v>31.2</v>
      </c>
      <c r="K253" s="41">
        <v>3.34</v>
      </c>
      <c r="L253" s="47">
        <f t="shared" si="26"/>
        <v>3.59</v>
      </c>
      <c r="Q253" s="47">
        <f t="shared" ref="Q253:R255" si="28">Q244</f>
        <v>960</v>
      </c>
      <c r="R253" s="47">
        <f t="shared" si="28"/>
        <v>35.799999999999997</v>
      </c>
      <c r="S253" s="47">
        <f>T244</f>
        <v>2.83</v>
      </c>
    </row>
    <row r="254" spans="2:21" x14ac:dyDescent="0.25">
      <c r="B254" s="41">
        <v>63</v>
      </c>
      <c r="C254">
        <v>95</v>
      </c>
      <c r="D254">
        <v>1200</v>
      </c>
      <c r="E254">
        <v>34.9</v>
      </c>
      <c r="F254">
        <v>2.58</v>
      </c>
      <c r="H254" s="41">
        <v>67</v>
      </c>
      <c r="I254" s="41">
        <v>115</v>
      </c>
      <c r="J254" s="42">
        <v>32.799999999999997</v>
      </c>
      <c r="K254" s="41">
        <v>3.35</v>
      </c>
      <c r="L254" s="47">
        <f t="shared" si="26"/>
        <v>3.6</v>
      </c>
      <c r="Q254" s="47">
        <f t="shared" si="28"/>
        <v>1200</v>
      </c>
      <c r="R254" s="47">
        <f t="shared" si="28"/>
        <v>37.1</v>
      </c>
      <c r="S254" s="47">
        <f>T245</f>
        <v>2.84</v>
      </c>
    </row>
    <row r="255" spans="2:21" x14ac:dyDescent="0.25">
      <c r="B255" s="41">
        <v>63</v>
      </c>
      <c r="C255">
        <v>95</v>
      </c>
      <c r="D255">
        <v>1440</v>
      </c>
      <c r="E255">
        <v>36.299999999999997</v>
      </c>
      <c r="F255">
        <v>2.59</v>
      </c>
      <c r="H255" s="41">
        <v>71</v>
      </c>
      <c r="I255" s="41">
        <v>115</v>
      </c>
      <c r="J255" s="42">
        <v>35</v>
      </c>
      <c r="K255" s="41">
        <v>3.37</v>
      </c>
      <c r="L255" s="47">
        <f t="shared" si="26"/>
        <v>3.62</v>
      </c>
      <c r="Q255" s="47">
        <f t="shared" si="28"/>
        <v>1440</v>
      </c>
      <c r="R255" s="47">
        <f t="shared" si="28"/>
        <v>37.9</v>
      </c>
      <c r="S255" s="47">
        <f>T246</f>
        <v>2.85</v>
      </c>
    </row>
    <row r="256" spans="2:21" x14ac:dyDescent="0.25">
      <c r="B256" s="41">
        <v>67</v>
      </c>
      <c r="C256">
        <v>95</v>
      </c>
      <c r="D256">
        <v>960</v>
      </c>
      <c r="E256">
        <v>35.799999999999997</v>
      </c>
      <c r="F256">
        <v>2.58</v>
      </c>
    </row>
    <row r="257" spans="2:12" x14ac:dyDescent="0.25">
      <c r="B257" s="41">
        <v>67</v>
      </c>
      <c r="C257">
        <v>95</v>
      </c>
      <c r="D257">
        <v>1200</v>
      </c>
      <c r="E257">
        <v>37.1</v>
      </c>
      <c r="F257">
        <v>2.59</v>
      </c>
    </row>
    <row r="258" spans="2:12" x14ac:dyDescent="0.25">
      <c r="B258" s="41">
        <v>67</v>
      </c>
      <c r="C258">
        <v>95</v>
      </c>
      <c r="D258">
        <v>1440</v>
      </c>
      <c r="E258">
        <v>37.9</v>
      </c>
      <c r="F258">
        <v>2.6</v>
      </c>
      <c r="I258" s="81" t="s">
        <v>31</v>
      </c>
      <c r="J258" s="81"/>
      <c r="K258" s="81"/>
      <c r="L258" s="81"/>
    </row>
    <row r="259" spans="2:12" x14ac:dyDescent="0.25">
      <c r="B259" s="41">
        <v>71</v>
      </c>
      <c r="C259">
        <v>95</v>
      </c>
      <c r="D259">
        <v>960</v>
      </c>
      <c r="E259">
        <v>38.299999999999997</v>
      </c>
      <c r="F259">
        <v>2.61</v>
      </c>
      <c r="I259" s="79" t="s">
        <v>33</v>
      </c>
      <c r="J259" s="79"/>
      <c r="K259" s="79"/>
      <c r="L259" s="79"/>
    </row>
    <row r="260" spans="2:12" x14ac:dyDescent="0.25">
      <c r="B260" s="41">
        <v>71</v>
      </c>
      <c r="C260">
        <v>95</v>
      </c>
      <c r="D260">
        <v>1200</v>
      </c>
      <c r="E260">
        <v>39.5</v>
      </c>
      <c r="F260">
        <v>2.62</v>
      </c>
      <c r="I260" s="80"/>
      <c r="J260" s="80"/>
      <c r="K260" s="80"/>
      <c r="L260" s="80"/>
    </row>
    <row r="261" spans="2:12" ht="15.75" thickBot="1" x14ac:dyDescent="0.3">
      <c r="B261" s="41">
        <v>71</v>
      </c>
      <c r="C261">
        <v>95</v>
      </c>
      <c r="D261">
        <v>1440</v>
      </c>
      <c r="E261">
        <v>40.299999999999997</v>
      </c>
      <c r="F261">
        <v>2.62</v>
      </c>
      <c r="I261" s="52" t="s">
        <v>73</v>
      </c>
      <c r="J261" s="52" t="s">
        <v>67</v>
      </c>
      <c r="K261" s="52" t="s">
        <v>75</v>
      </c>
      <c r="L261" s="52" t="s">
        <v>77</v>
      </c>
    </row>
    <row r="262" spans="2:12" ht="15.75" thickTop="1" x14ac:dyDescent="0.25">
      <c r="B262" s="41">
        <v>63</v>
      </c>
      <c r="C262">
        <f>105</f>
        <v>105</v>
      </c>
      <c r="D262">
        <v>960</v>
      </c>
      <c r="E262">
        <v>31.7</v>
      </c>
      <c r="F262">
        <v>2.92</v>
      </c>
      <c r="I262" s="47">
        <f t="shared" ref="I262:K273" si="29">H244</f>
        <v>63</v>
      </c>
      <c r="J262" s="47">
        <f t="shared" si="29"/>
        <v>85</v>
      </c>
      <c r="K262" s="62">
        <f>J244</f>
        <v>36.700000000000003</v>
      </c>
      <c r="L262" s="47">
        <f>L244</f>
        <v>2.52</v>
      </c>
    </row>
    <row r="263" spans="2:12" x14ac:dyDescent="0.25">
      <c r="B263" s="41">
        <v>63</v>
      </c>
      <c r="C263">
        <f>105</f>
        <v>105</v>
      </c>
      <c r="D263">
        <v>1200</v>
      </c>
      <c r="E263">
        <v>33.1</v>
      </c>
      <c r="F263">
        <v>2.93</v>
      </c>
      <c r="I263" s="47">
        <f t="shared" si="29"/>
        <v>67</v>
      </c>
      <c r="J263" s="47">
        <f t="shared" si="29"/>
        <v>85</v>
      </c>
      <c r="K263" s="62">
        <f t="shared" si="29"/>
        <v>39</v>
      </c>
      <c r="L263" s="47">
        <f t="shared" ref="L263:L273" si="30">L245</f>
        <v>2.5299999999999998</v>
      </c>
    </row>
    <row r="264" spans="2:12" x14ac:dyDescent="0.25">
      <c r="B264" s="41">
        <v>63</v>
      </c>
      <c r="C264">
        <f>105</f>
        <v>105</v>
      </c>
      <c r="D264">
        <v>1440</v>
      </c>
      <c r="E264">
        <v>34.6</v>
      </c>
      <c r="F264">
        <v>2.94</v>
      </c>
      <c r="I264" s="47">
        <f t="shared" si="29"/>
        <v>71</v>
      </c>
      <c r="J264" s="47">
        <f t="shared" si="29"/>
        <v>85</v>
      </c>
      <c r="K264" s="62">
        <f t="shared" si="29"/>
        <v>41.5</v>
      </c>
      <c r="L264" s="47">
        <f t="shared" si="30"/>
        <v>2.56</v>
      </c>
    </row>
    <row r="265" spans="2:12" x14ac:dyDescent="0.25">
      <c r="B265" s="41">
        <v>67</v>
      </c>
      <c r="C265">
        <f>105</f>
        <v>105</v>
      </c>
      <c r="D265">
        <v>960</v>
      </c>
      <c r="E265">
        <v>33.9</v>
      </c>
      <c r="F265">
        <v>2.93</v>
      </c>
      <c r="I265" s="47">
        <f t="shared" si="29"/>
        <v>63</v>
      </c>
      <c r="J265" s="47">
        <f t="shared" si="29"/>
        <v>95</v>
      </c>
      <c r="K265" s="62">
        <f t="shared" si="29"/>
        <v>34.9</v>
      </c>
      <c r="L265" s="47">
        <f t="shared" si="30"/>
        <v>2.83</v>
      </c>
    </row>
    <row r="266" spans="2:12" x14ac:dyDescent="0.25">
      <c r="B266" s="41">
        <v>67</v>
      </c>
      <c r="C266">
        <f>105</f>
        <v>105</v>
      </c>
      <c r="D266">
        <v>1200</v>
      </c>
      <c r="E266">
        <v>35</v>
      </c>
      <c r="F266">
        <v>2.94</v>
      </c>
      <c r="I266" s="47">
        <f t="shared" si="29"/>
        <v>67</v>
      </c>
      <c r="J266" s="47">
        <f t="shared" si="29"/>
        <v>95</v>
      </c>
      <c r="K266" s="62">
        <f t="shared" si="29"/>
        <v>37.1</v>
      </c>
      <c r="L266" s="47">
        <f t="shared" si="30"/>
        <v>2.84</v>
      </c>
    </row>
    <row r="267" spans="2:12" x14ac:dyDescent="0.25">
      <c r="B267" s="41">
        <v>67</v>
      </c>
      <c r="C267">
        <f>105</f>
        <v>105</v>
      </c>
      <c r="D267">
        <v>1440</v>
      </c>
      <c r="E267">
        <v>35.799999999999997</v>
      </c>
      <c r="F267">
        <v>2.95</v>
      </c>
      <c r="I267" s="47">
        <f t="shared" si="29"/>
        <v>71</v>
      </c>
      <c r="J267" s="47">
        <f t="shared" si="29"/>
        <v>95</v>
      </c>
      <c r="K267" s="62">
        <f t="shared" si="29"/>
        <v>39.5</v>
      </c>
      <c r="L267" s="47">
        <f t="shared" si="30"/>
        <v>2.87</v>
      </c>
    </row>
    <row r="268" spans="2:12" x14ac:dyDescent="0.25">
      <c r="B268" s="41">
        <v>71</v>
      </c>
      <c r="C268">
        <f>105</f>
        <v>105</v>
      </c>
      <c r="D268">
        <v>960</v>
      </c>
      <c r="E268">
        <v>36.299999999999997</v>
      </c>
      <c r="F268">
        <v>2.96</v>
      </c>
      <c r="I268" s="47">
        <f t="shared" si="29"/>
        <v>63</v>
      </c>
      <c r="J268" s="47">
        <f t="shared" si="29"/>
        <v>105</v>
      </c>
      <c r="K268" s="62">
        <f t="shared" si="29"/>
        <v>33.1</v>
      </c>
      <c r="L268" s="47">
        <f t="shared" si="30"/>
        <v>3.18</v>
      </c>
    </row>
    <row r="269" spans="2:12" x14ac:dyDescent="0.25">
      <c r="B269" s="41">
        <v>71</v>
      </c>
      <c r="C269">
        <f>105</f>
        <v>105</v>
      </c>
      <c r="D269">
        <v>1200</v>
      </c>
      <c r="E269">
        <v>37.4</v>
      </c>
      <c r="F269">
        <v>2.97</v>
      </c>
      <c r="I269" s="47">
        <f t="shared" si="29"/>
        <v>67</v>
      </c>
      <c r="J269" s="47">
        <f t="shared" si="29"/>
        <v>105</v>
      </c>
      <c r="K269" s="62">
        <f t="shared" si="29"/>
        <v>35</v>
      </c>
      <c r="L269" s="47">
        <f t="shared" si="30"/>
        <v>3.19</v>
      </c>
    </row>
    <row r="270" spans="2:12" x14ac:dyDescent="0.25">
      <c r="B270" s="41">
        <v>71</v>
      </c>
      <c r="C270">
        <f>105</f>
        <v>105</v>
      </c>
      <c r="D270">
        <v>1440</v>
      </c>
      <c r="E270">
        <v>38.1</v>
      </c>
      <c r="F270">
        <v>2.98</v>
      </c>
      <c r="I270" s="47">
        <f t="shared" si="29"/>
        <v>71</v>
      </c>
      <c r="J270" s="47">
        <f t="shared" si="29"/>
        <v>105</v>
      </c>
      <c r="K270" s="62">
        <f t="shared" si="29"/>
        <v>37.4</v>
      </c>
      <c r="L270" s="47">
        <f t="shared" si="30"/>
        <v>3.22</v>
      </c>
    </row>
    <row r="271" spans="2:12" x14ac:dyDescent="0.25">
      <c r="B271" s="41">
        <v>63</v>
      </c>
      <c r="C271">
        <f>115</f>
        <v>115</v>
      </c>
      <c r="D271">
        <v>960</v>
      </c>
      <c r="E271">
        <v>29.8</v>
      </c>
      <c r="F271">
        <v>3.33</v>
      </c>
      <c r="I271" s="47">
        <f t="shared" si="29"/>
        <v>63</v>
      </c>
      <c r="J271" s="47">
        <f t="shared" si="29"/>
        <v>115</v>
      </c>
      <c r="K271" s="62">
        <f t="shared" si="29"/>
        <v>31.2</v>
      </c>
      <c r="L271" s="47">
        <f t="shared" si="30"/>
        <v>3.59</v>
      </c>
    </row>
    <row r="272" spans="2:12" x14ac:dyDescent="0.25">
      <c r="B272" s="41">
        <v>63</v>
      </c>
      <c r="C272">
        <f>115</f>
        <v>115</v>
      </c>
      <c r="D272">
        <v>1200</v>
      </c>
      <c r="E272">
        <v>31.2</v>
      </c>
      <c r="F272">
        <v>3.34</v>
      </c>
      <c r="I272" s="47">
        <f t="shared" si="29"/>
        <v>67</v>
      </c>
      <c r="J272" s="47">
        <f t="shared" si="29"/>
        <v>115</v>
      </c>
      <c r="K272" s="62">
        <f t="shared" si="29"/>
        <v>32.799999999999997</v>
      </c>
      <c r="L272" s="47">
        <f t="shared" si="30"/>
        <v>3.6</v>
      </c>
    </row>
    <row r="273" spans="2:12" x14ac:dyDescent="0.25">
      <c r="B273" s="41">
        <v>63</v>
      </c>
      <c r="C273">
        <f>115</f>
        <v>115</v>
      </c>
      <c r="D273">
        <v>1440</v>
      </c>
      <c r="E273">
        <v>32.700000000000003</v>
      </c>
      <c r="F273">
        <v>3.34</v>
      </c>
      <c r="I273" s="47">
        <f t="shared" si="29"/>
        <v>71</v>
      </c>
      <c r="J273" s="47">
        <f t="shared" si="29"/>
        <v>115</v>
      </c>
      <c r="K273" s="62">
        <f t="shared" si="29"/>
        <v>35</v>
      </c>
      <c r="L273" s="47">
        <f t="shared" si="30"/>
        <v>3.62</v>
      </c>
    </row>
    <row r="274" spans="2:12" x14ac:dyDescent="0.25">
      <c r="B274" s="41">
        <v>67</v>
      </c>
      <c r="C274">
        <f>115</f>
        <v>115</v>
      </c>
      <c r="D274">
        <v>960</v>
      </c>
      <c r="E274">
        <v>31.8</v>
      </c>
      <c r="F274">
        <v>3.34</v>
      </c>
    </row>
    <row r="275" spans="2:12" x14ac:dyDescent="0.25">
      <c r="B275" s="41">
        <v>67</v>
      </c>
      <c r="C275">
        <f>115</f>
        <v>115</v>
      </c>
      <c r="D275">
        <v>1200</v>
      </c>
      <c r="E275">
        <v>32.799999999999997</v>
      </c>
      <c r="F275">
        <v>3.35</v>
      </c>
    </row>
    <row r="276" spans="2:12" x14ac:dyDescent="0.25">
      <c r="B276" s="41">
        <v>67</v>
      </c>
      <c r="C276">
        <f>115</f>
        <v>115</v>
      </c>
      <c r="D276">
        <v>1440</v>
      </c>
      <c r="E276">
        <v>33.5</v>
      </c>
      <c r="F276">
        <v>3.36</v>
      </c>
    </row>
    <row r="277" spans="2:12" x14ac:dyDescent="0.25">
      <c r="B277" s="41">
        <v>71</v>
      </c>
      <c r="C277">
        <f>115</f>
        <v>115</v>
      </c>
      <c r="D277">
        <v>960</v>
      </c>
      <c r="E277">
        <v>34</v>
      </c>
      <c r="F277">
        <v>3.36</v>
      </c>
    </row>
    <row r="278" spans="2:12" x14ac:dyDescent="0.25">
      <c r="B278" s="41">
        <v>71</v>
      </c>
      <c r="C278">
        <f>115</f>
        <v>115</v>
      </c>
      <c r="D278">
        <v>1200</v>
      </c>
      <c r="E278">
        <v>35</v>
      </c>
      <c r="F278">
        <v>3.37</v>
      </c>
    </row>
    <row r="279" spans="2:12" x14ac:dyDescent="0.25">
      <c r="B279" s="41">
        <v>71</v>
      </c>
      <c r="C279">
        <f>115</f>
        <v>115</v>
      </c>
      <c r="D279">
        <v>1440</v>
      </c>
      <c r="E279">
        <v>35.6</v>
      </c>
      <c r="F279">
        <v>3.38</v>
      </c>
    </row>
  </sheetData>
  <mergeCells count="9">
    <mergeCell ref="Q250:S251"/>
    <mergeCell ref="I258:L258"/>
    <mergeCell ref="I259:L260"/>
    <mergeCell ref="M129:N129"/>
    <mergeCell ref="R140:T140"/>
    <mergeCell ref="R141:T142"/>
    <mergeCell ref="I154:L154"/>
    <mergeCell ref="I155:L156"/>
    <mergeCell ref="Q249:S24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N88"/>
  <sheetViews>
    <sheetView zoomScale="85" zoomScaleNormal="85" workbookViewId="0">
      <selection activeCell="B8" sqref="B8"/>
    </sheetView>
  </sheetViews>
  <sheetFormatPr defaultRowHeight="15" x14ac:dyDescent="0.25"/>
  <cols>
    <col min="1" max="1" width="26.140625" style="3" customWidth="1"/>
    <col min="2" max="2" width="22.5703125" style="3" customWidth="1"/>
    <col min="3" max="3" width="22.140625" style="3" customWidth="1"/>
    <col min="4" max="4" width="20.28515625" style="3" customWidth="1"/>
    <col min="5" max="5" width="21.85546875" style="3" customWidth="1"/>
    <col min="6" max="6" width="17.85546875" style="3" customWidth="1"/>
    <col min="7" max="12" width="18.28515625" style="3" customWidth="1"/>
    <col min="13" max="13" width="18.28515625" customWidth="1"/>
    <col min="14" max="14" width="37.140625" bestFit="1" customWidth="1"/>
    <col min="15" max="16384" width="9.140625" style="3"/>
  </cols>
  <sheetData>
    <row r="3" spans="1:14" ht="15.75" x14ac:dyDescent="0.25">
      <c r="A3" s="1" t="s">
        <v>0</v>
      </c>
      <c r="B3" s="2" t="s">
        <v>45</v>
      </c>
      <c r="J3" s="47"/>
      <c r="K3" s="44"/>
      <c r="L3" s="44"/>
      <c r="M3" s="3"/>
      <c r="N3" s="3"/>
    </row>
    <row r="4" spans="1:14" ht="15.75" x14ac:dyDescent="0.25">
      <c r="A4" s="4" t="s">
        <v>1</v>
      </c>
      <c r="B4" s="5" t="s">
        <v>48</v>
      </c>
      <c r="J4" s="47"/>
      <c r="K4" s="44"/>
      <c r="L4" s="44"/>
      <c r="M4" s="3"/>
      <c r="N4" s="3"/>
    </row>
    <row r="5" spans="1:14" ht="15.75" x14ac:dyDescent="0.25">
      <c r="A5" s="4" t="s">
        <v>2</v>
      </c>
      <c r="B5" s="5" t="s">
        <v>49</v>
      </c>
      <c r="H5" s="25"/>
      <c r="J5" s="47"/>
      <c r="K5" s="44"/>
      <c r="L5" s="44"/>
      <c r="M5" s="3"/>
      <c r="N5" s="3"/>
    </row>
    <row r="6" spans="1:14" ht="15.75" x14ac:dyDescent="0.25">
      <c r="A6" s="6" t="s">
        <v>3</v>
      </c>
      <c r="B6" s="7" t="s">
        <v>4</v>
      </c>
      <c r="C6" s="8"/>
      <c r="D6" s="8"/>
      <c r="E6" s="8"/>
      <c r="J6" s="47"/>
      <c r="K6" s="44"/>
      <c r="L6" s="44"/>
      <c r="M6" s="3"/>
      <c r="N6" s="3"/>
    </row>
    <row r="7" spans="1:14" ht="15.75" x14ac:dyDescent="0.25">
      <c r="A7" s="58"/>
      <c r="B7" s="59"/>
      <c r="C7" s="8"/>
      <c r="D7" s="8"/>
      <c r="E7" s="8"/>
      <c r="J7" s="47"/>
      <c r="K7" s="44"/>
      <c r="L7" s="44"/>
      <c r="M7" s="3"/>
      <c r="N7" s="3"/>
    </row>
    <row r="8" spans="1:14" ht="18" customHeight="1" x14ac:dyDescent="0.25">
      <c r="A8" s="4" t="s">
        <v>42</v>
      </c>
      <c r="B8" s="78" t="s">
        <v>64</v>
      </c>
      <c r="C8" s="8"/>
      <c r="D8" s="8"/>
      <c r="E8" s="8"/>
      <c r="M8" s="3"/>
      <c r="N8" s="3"/>
    </row>
    <row r="9" spans="1:14" x14ac:dyDescent="0.25">
      <c r="A9" s="9"/>
      <c r="B9" s="10"/>
      <c r="C9" s="8"/>
      <c r="D9" s="8"/>
      <c r="E9" s="8"/>
      <c r="M9" s="3"/>
      <c r="N9" s="3"/>
    </row>
    <row r="10" spans="1:14" ht="35.25" customHeight="1" x14ac:dyDescent="0.25">
      <c r="A10" s="11" t="s">
        <v>5</v>
      </c>
      <c r="B10" s="12" t="s">
        <v>53</v>
      </c>
      <c r="C10" s="13" t="s">
        <v>54</v>
      </c>
      <c r="D10" s="13" t="s">
        <v>47</v>
      </c>
      <c r="E10" s="14" t="s">
        <v>41</v>
      </c>
      <c r="M10" s="3"/>
      <c r="N10" s="3"/>
    </row>
    <row r="11" spans="1:14" x14ac:dyDescent="0.25">
      <c r="B11" s="15">
        <v>67</v>
      </c>
      <c r="C11" s="16">
        <v>95</v>
      </c>
      <c r="D11" s="16"/>
      <c r="E11" s="17"/>
      <c r="F11" s="26"/>
      <c r="I11" s="8"/>
      <c r="J11" s="8"/>
      <c r="M11" s="3"/>
      <c r="N11" s="3"/>
    </row>
    <row r="12" spans="1:14" x14ac:dyDescent="0.25">
      <c r="F12" s="27"/>
      <c r="G12" s="27"/>
      <c r="I12" s="8"/>
      <c r="J12" s="8"/>
      <c r="M12" s="3"/>
      <c r="N12" s="3"/>
    </row>
    <row r="13" spans="1:14" ht="35.25" customHeight="1" x14ac:dyDescent="0.25">
      <c r="A13" s="11" t="s">
        <v>6</v>
      </c>
      <c r="B13" s="12" t="s">
        <v>50</v>
      </c>
      <c r="C13" s="13" t="s">
        <v>51</v>
      </c>
      <c r="D13" s="13" t="s">
        <v>46</v>
      </c>
      <c r="E13" s="14" t="s">
        <v>40</v>
      </c>
      <c r="M13" s="3"/>
      <c r="N13" s="3"/>
    </row>
    <row r="14" spans="1:14" x14ac:dyDescent="0.25">
      <c r="B14" s="18" t="s">
        <v>52</v>
      </c>
      <c r="C14" s="19" t="s">
        <v>52</v>
      </c>
      <c r="D14" s="19" t="s">
        <v>7</v>
      </c>
      <c r="E14" s="20" t="s">
        <v>8</v>
      </c>
      <c r="I14" s="9"/>
      <c r="M14" s="3"/>
      <c r="N14" s="3"/>
    </row>
    <row r="15" spans="1:14" x14ac:dyDescent="0.25">
      <c r="B15" s="21">
        <v>72</v>
      </c>
      <c r="C15" s="55">
        <v>85</v>
      </c>
      <c r="D15" s="55">
        <v>48.640170999999995</v>
      </c>
      <c r="E15" s="22">
        <v>2.9000000000000004</v>
      </c>
      <c r="F15" s="28"/>
      <c r="G15" s="29"/>
      <c r="I15" s="29"/>
      <c r="J15" s="29"/>
      <c r="M15" s="3"/>
      <c r="N15" s="3"/>
    </row>
    <row r="16" spans="1:14" x14ac:dyDescent="0.25">
      <c r="B16" s="21">
        <v>67</v>
      </c>
      <c r="C16" s="55">
        <v>85</v>
      </c>
      <c r="D16" s="55">
        <v>44.240171000000004</v>
      </c>
      <c r="E16" s="22">
        <v>2.8</v>
      </c>
      <c r="F16" s="28"/>
      <c r="G16" s="29"/>
      <c r="I16" s="29"/>
      <c r="J16" s="29"/>
      <c r="M16" s="3"/>
      <c r="N16" s="3"/>
    </row>
    <row r="17" spans="2:14" x14ac:dyDescent="0.25">
      <c r="B17" s="21">
        <v>63</v>
      </c>
      <c r="C17" s="55">
        <v>85</v>
      </c>
      <c r="D17" s="55">
        <v>41.040171000000001</v>
      </c>
      <c r="E17" s="22">
        <v>2.7199999999999998</v>
      </c>
      <c r="F17" s="28"/>
      <c r="G17" s="29"/>
      <c r="I17" s="29"/>
      <c r="J17" s="29"/>
      <c r="M17" s="3"/>
      <c r="N17" s="3"/>
    </row>
    <row r="18" spans="2:14" x14ac:dyDescent="0.25">
      <c r="B18" s="21">
        <v>62</v>
      </c>
      <c r="C18" s="55">
        <v>85</v>
      </c>
      <c r="D18" s="55">
        <v>40.340170999999998</v>
      </c>
      <c r="E18" s="22">
        <v>2.7</v>
      </c>
      <c r="F18" s="28"/>
      <c r="G18" s="29"/>
      <c r="I18" s="29"/>
      <c r="J18" s="29"/>
      <c r="M18" s="3"/>
      <c r="N18" s="3"/>
    </row>
    <row r="19" spans="2:14" x14ac:dyDescent="0.25">
      <c r="B19" s="21">
        <v>57</v>
      </c>
      <c r="C19" s="55">
        <v>85</v>
      </c>
      <c r="D19" s="55">
        <v>38.740171000000004</v>
      </c>
      <c r="E19" s="22">
        <v>2.66</v>
      </c>
      <c r="F19" s="28"/>
      <c r="G19" s="29"/>
      <c r="I19" s="29"/>
      <c r="J19" s="29"/>
      <c r="M19" s="3"/>
      <c r="N19" s="3"/>
    </row>
    <row r="20" spans="2:14" x14ac:dyDescent="0.25">
      <c r="B20" s="21">
        <v>72</v>
      </c>
      <c r="C20" s="55">
        <v>95</v>
      </c>
      <c r="D20" s="55">
        <v>45.940171000000007</v>
      </c>
      <c r="E20" s="22">
        <v>3.1500000000000004</v>
      </c>
      <c r="F20" s="28"/>
      <c r="G20" s="29"/>
      <c r="I20" s="29"/>
      <c r="J20" s="29"/>
      <c r="L20" s="31"/>
      <c r="M20" s="3"/>
      <c r="N20" s="3"/>
    </row>
    <row r="21" spans="2:14" x14ac:dyDescent="0.25">
      <c r="B21" s="21">
        <v>67</v>
      </c>
      <c r="C21" s="55">
        <v>95</v>
      </c>
      <c r="D21" s="55">
        <v>41.740171000000004</v>
      </c>
      <c r="E21" s="22">
        <v>3.0300000000000002</v>
      </c>
      <c r="F21" s="28"/>
      <c r="G21" s="32"/>
      <c r="I21" s="32"/>
      <c r="J21" s="32"/>
      <c r="L21" s="31"/>
      <c r="M21" s="3"/>
      <c r="N21" s="3"/>
    </row>
    <row r="22" spans="2:14" x14ac:dyDescent="0.25">
      <c r="B22" s="21">
        <v>63</v>
      </c>
      <c r="C22" s="55">
        <v>95</v>
      </c>
      <c r="D22" s="55">
        <v>38.740171000000004</v>
      </c>
      <c r="E22" s="22">
        <v>2.9400000000000004</v>
      </c>
      <c r="F22" s="28"/>
      <c r="G22" s="33"/>
      <c r="I22" s="33"/>
      <c r="J22" s="33"/>
      <c r="L22" s="9"/>
      <c r="M22" s="3"/>
      <c r="N22" s="3"/>
    </row>
    <row r="23" spans="2:14" x14ac:dyDescent="0.25">
      <c r="B23" s="21">
        <v>62</v>
      </c>
      <c r="C23" s="55">
        <v>95</v>
      </c>
      <c r="D23" s="55">
        <v>37.940171000000007</v>
      </c>
      <c r="E23" s="22">
        <v>2.92</v>
      </c>
      <c r="F23" s="28"/>
      <c r="G23" s="33"/>
      <c r="I23" s="33"/>
      <c r="J23" s="33"/>
      <c r="L23" s="9"/>
      <c r="M23" s="3"/>
      <c r="N23" s="3"/>
    </row>
    <row r="24" spans="2:14" x14ac:dyDescent="0.25">
      <c r="B24" s="21">
        <v>57</v>
      </c>
      <c r="C24" s="55">
        <v>95</v>
      </c>
      <c r="D24" s="55">
        <v>36.940171000000007</v>
      </c>
      <c r="E24" s="22">
        <v>2.88</v>
      </c>
      <c r="F24" s="28"/>
      <c r="G24" s="33"/>
      <c r="I24" s="33"/>
      <c r="J24" s="33"/>
      <c r="L24" s="10"/>
      <c r="M24" s="3"/>
      <c r="N24" s="3"/>
    </row>
    <row r="25" spans="2:14" x14ac:dyDescent="0.25">
      <c r="B25" s="21">
        <v>72</v>
      </c>
      <c r="C25" s="55">
        <v>105</v>
      </c>
      <c r="D25" s="55">
        <v>43.140170999999995</v>
      </c>
      <c r="E25" s="22">
        <v>3.3899999999999997</v>
      </c>
      <c r="F25" s="28"/>
      <c r="L25" s="10"/>
      <c r="M25" s="3"/>
      <c r="N25" s="3"/>
    </row>
    <row r="26" spans="2:14" x14ac:dyDescent="0.25">
      <c r="B26" s="21">
        <v>67</v>
      </c>
      <c r="C26" s="55">
        <v>105</v>
      </c>
      <c r="D26" s="55">
        <v>39.240171000000004</v>
      </c>
      <c r="E26" s="22">
        <v>3.25</v>
      </c>
      <c r="F26" s="28"/>
      <c r="L26" s="10"/>
      <c r="M26" s="3"/>
      <c r="N26" s="3"/>
    </row>
    <row r="27" spans="2:14" x14ac:dyDescent="0.25">
      <c r="B27" s="23">
        <v>63</v>
      </c>
      <c r="C27" s="53">
        <v>105</v>
      </c>
      <c r="D27" s="53">
        <v>36.240171000000004</v>
      </c>
      <c r="E27" s="24">
        <v>3.1399999999999997</v>
      </c>
      <c r="F27" s="28"/>
      <c r="G27" s="9"/>
      <c r="I27" s="30"/>
      <c r="J27" s="9"/>
      <c r="L27" s="27"/>
      <c r="M27" s="3"/>
      <c r="N27" s="3"/>
    </row>
    <row r="28" spans="2:14" x14ac:dyDescent="0.25">
      <c r="B28" s="23">
        <v>62</v>
      </c>
      <c r="C28" s="53">
        <v>105</v>
      </c>
      <c r="D28" s="53">
        <v>35.640170999999995</v>
      </c>
      <c r="E28" s="24">
        <v>3.12</v>
      </c>
      <c r="F28" s="28"/>
      <c r="G28" s="9"/>
      <c r="I28" s="30"/>
      <c r="J28" s="9"/>
      <c r="L28" s="27"/>
      <c r="M28" s="3"/>
      <c r="N28" s="3"/>
    </row>
    <row r="29" spans="2:14" x14ac:dyDescent="0.25">
      <c r="B29" s="23">
        <v>57</v>
      </c>
      <c r="C29" s="53">
        <v>105</v>
      </c>
      <c r="D29" s="53">
        <v>35.140170999999995</v>
      </c>
      <c r="E29" s="24">
        <v>3.0999999999999996</v>
      </c>
      <c r="F29" s="28"/>
      <c r="G29" s="9"/>
      <c r="I29" s="30"/>
      <c r="J29" s="9"/>
      <c r="L29" s="27"/>
      <c r="M29" s="3"/>
      <c r="N29" s="3"/>
    </row>
    <row r="30" spans="2:14" x14ac:dyDescent="0.25">
      <c r="B30" s="23">
        <v>72</v>
      </c>
      <c r="C30" s="53">
        <v>115</v>
      </c>
      <c r="D30" s="53">
        <v>40.440171000000007</v>
      </c>
      <c r="E30" s="24">
        <v>3.62</v>
      </c>
      <c r="F30" s="22"/>
      <c r="I30" s="30"/>
      <c r="L30" s="27"/>
      <c r="M30" s="3"/>
      <c r="N30" s="3"/>
    </row>
    <row r="31" spans="2:14" x14ac:dyDescent="0.25">
      <c r="B31" s="23">
        <v>67</v>
      </c>
      <c r="C31" s="53">
        <v>115</v>
      </c>
      <c r="D31" s="53">
        <v>36.640170999999995</v>
      </c>
      <c r="E31" s="24">
        <v>3.46</v>
      </c>
      <c r="F31" s="22"/>
      <c r="I31" s="30"/>
      <c r="L31" s="27"/>
      <c r="M31" s="3"/>
      <c r="N31" s="3"/>
    </row>
    <row r="32" spans="2:14" x14ac:dyDescent="0.25">
      <c r="B32" s="23">
        <v>63</v>
      </c>
      <c r="C32" s="53">
        <v>115</v>
      </c>
      <c r="D32" s="53">
        <v>33.840170999999998</v>
      </c>
      <c r="E32" s="24">
        <v>3.34</v>
      </c>
      <c r="F32" s="22"/>
      <c r="G32" s="26"/>
      <c r="I32" s="30"/>
      <c r="L32" s="27"/>
      <c r="M32" s="3"/>
      <c r="N32" s="3"/>
    </row>
    <row r="33" spans="1:14" x14ac:dyDescent="0.25">
      <c r="B33" s="23">
        <v>62</v>
      </c>
      <c r="C33" s="53">
        <v>115</v>
      </c>
      <c r="D33" s="53">
        <v>33.340170999999998</v>
      </c>
      <c r="E33" s="24">
        <v>3.3099999999999996</v>
      </c>
      <c r="F33" s="22"/>
      <c r="I33" s="30"/>
      <c r="L33" s="27"/>
      <c r="M33" s="3"/>
      <c r="N33" s="3"/>
    </row>
    <row r="34" spans="1:14" x14ac:dyDescent="0.25">
      <c r="B34" s="23">
        <v>57</v>
      </c>
      <c r="C34" s="53">
        <v>115</v>
      </c>
      <c r="D34" s="53">
        <v>33.240171000000004</v>
      </c>
      <c r="E34" s="24">
        <v>3.3099999999999996</v>
      </c>
      <c r="F34" s="22"/>
      <c r="G34" s="29"/>
      <c r="I34" s="29"/>
      <c r="J34" s="29"/>
      <c r="L34" s="27"/>
      <c r="M34" s="3"/>
      <c r="N34" s="3"/>
    </row>
    <row r="35" spans="1:14" x14ac:dyDescent="0.25">
      <c r="B35" s="10"/>
      <c r="C35" s="10"/>
      <c r="D35" s="10"/>
      <c r="E35" s="10"/>
      <c r="F35" s="22"/>
      <c r="G35" s="29"/>
      <c r="I35" s="29"/>
      <c r="J35" s="29"/>
      <c r="L35" s="10"/>
      <c r="M35" s="3"/>
      <c r="N35" s="3"/>
    </row>
    <row r="36" spans="1:14" x14ac:dyDescent="0.25">
      <c r="B36" s="10"/>
      <c r="C36" s="10"/>
      <c r="D36" s="10"/>
      <c r="E36" s="10"/>
      <c r="F36" s="22"/>
      <c r="G36" s="29"/>
      <c r="I36" s="29"/>
      <c r="J36" s="29"/>
      <c r="L36" s="10"/>
      <c r="M36" s="3"/>
      <c r="N36" s="3"/>
    </row>
    <row r="37" spans="1:14" x14ac:dyDescent="0.25">
      <c r="A37" s="9"/>
      <c r="B37" s="10"/>
      <c r="C37" s="10"/>
      <c r="D37" s="10"/>
      <c r="E37" s="10"/>
      <c r="F37" s="22"/>
      <c r="G37" s="29"/>
      <c r="I37" s="29"/>
      <c r="J37" s="29"/>
      <c r="L37" s="10"/>
      <c r="M37" s="3"/>
      <c r="N37" s="3"/>
    </row>
    <row r="38" spans="1:14" x14ac:dyDescent="0.25">
      <c r="A38" s="34"/>
      <c r="B38" s="10"/>
      <c r="C38" s="10"/>
      <c r="D38" s="10"/>
      <c r="E38" s="10"/>
      <c r="F38" s="22"/>
      <c r="G38" s="29"/>
      <c r="I38" s="29"/>
      <c r="J38" s="29"/>
      <c r="L38" s="10"/>
      <c r="M38" s="3"/>
      <c r="N38" s="3"/>
    </row>
    <row r="39" spans="1:14" x14ac:dyDescent="0.25">
      <c r="A39" s="9"/>
      <c r="B39" s="10"/>
      <c r="C39" s="10"/>
      <c r="D39" s="10"/>
      <c r="E39" s="10"/>
      <c r="F39" s="22"/>
      <c r="G39" s="29"/>
      <c r="I39" s="29"/>
      <c r="J39" s="29"/>
      <c r="L39" s="10"/>
      <c r="M39" s="3"/>
      <c r="N39" s="3"/>
    </row>
    <row r="40" spans="1:14" x14ac:dyDescent="0.25">
      <c r="A40" s="9"/>
      <c r="B40" s="10"/>
      <c r="C40" s="10"/>
      <c r="D40" s="10"/>
      <c r="E40" s="10"/>
      <c r="F40" s="22"/>
      <c r="G40" s="32"/>
      <c r="I40" s="32"/>
      <c r="J40" s="32"/>
      <c r="L40" s="10"/>
      <c r="M40" s="3"/>
      <c r="N40" s="3"/>
    </row>
    <row r="41" spans="1:14" x14ac:dyDescent="0.25">
      <c r="A41" s="9"/>
      <c r="B41" s="10"/>
      <c r="C41" s="10"/>
      <c r="D41" s="10"/>
      <c r="E41" s="10"/>
      <c r="F41" s="22"/>
      <c r="G41" s="33"/>
      <c r="I41" s="33"/>
      <c r="J41" s="33"/>
      <c r="L41" s="10"/>
      <c r="M41" s="3"/>
      <c r="N41" s="3"/>
    </row>
    <row r="42" spans="1:14" x14ac:dyDescent="0.25">
      <c r="A42" s="9"/>
      <c r="B42" s="10"/>
      <c r="C42" s="10"/>
      <c r="D42" s="10"/>
      <c r="E42" s="10"/>
      <c r="F42" s="22"/>
      <c r="G42" s="33"/>
      <c r="I42" s="33"/>
      <c r="J42" s="33"/>
      <c r="L42" s="10"/>
      <c r="M42" s="3"/>
      <c r="N42" s="3"/>
    </row>
    <row r="43" spans="1:14" x14ac:dyDescent="0.25">
      <c r="A43" s="9"/>
      <c r="B43" s="27"/>
      <c r="C43" s="23"/>
      <c r="D43" s="27"/>
      <c r="E43" s="27"/>
      <c r="F43" s="22"/>
      <c r="G43" s="33"/>
      <c r="I43" s="33"/>
      <c r="J43" s="33"/>
      <c r="K43" s="27"/>
      <c r="L43" s="27"/>
      <c r="M43" s="3"/>
      <c r="N43" s="3"/>
    </row>
    <row r="44" spans="1:14" x14ac:dyDescent="0.25">
      <c r="A44" s="9"/>
      <c r="B44" s="10"/>
      <c r="C44" s="10"/>
      <c r="D44" s="10"/>
      <c r="E44" s="10"/>
      <c r="F44" s="22"/>
      <c r="J44" s="54"/>
      <c r="K44" s="10"/>
      <c r="L44" s="10"/>
      <c r="M44" s="3"/>
      <c r="N44" s="3"/>
    </row>
    <row r="45" spans="1:14" x14ac:dyDescent="0.25">
      <c r="A45" s="9"/>
      <c r="B45" s="10"/>
      <c r="C45" s="10"/>
      <c r="D45" s="10"/>
      <c r="E45" s="10"/>
      <c r="F45" s="22"/>
      <c r="M45" s="3"/>
      <c r="N45" s="3"/>
    </row>
    <row r="46" spans="1:14" x14ac:dyDescent="0.25">
      <c r="A46" s="9"/>
      <c r="B46" s="27"/>
      <c r="C46" s="23"/>
      <c r="D46" s="27"/>
      <c r="E46" s="27"/>
      <c r="G46" s="9"/>
      <c r="I46" s="9"/>
      <c r="M46" s="3"/>
      <c r="N46" s="3"/>
    </row>
    <row r="47" spans="1:14" x14ac:dyDescent="0.25">
      <c r="A47" s="9"/>
      <c r="B47" s="10"/>
      <c r="C47" s="10"/>
      <c r="D47" s="10"/>
      <c r="E47" s="10"/>
      <c r="G47" s="9"/>
      <c r="I47" s="9"/>
      <c r="M47" s="3"/>
      <c r="N47" s="3"/>
    </row>
    <row r="48" spans="1:14" x14ac:dyDescent="0.25">
      <c r="A48" s="9"/>
      <c r="B48" s="10"/>
      <c r="C48" s="10"/>
      <c r="D48" s="10"/>
      <c r="E48" s="10"/>
      <c r="G48" s="9"/>
      <c r="I48" s="9"/>
      <c r="M48" s="3"/>
      <c r="N48" s="3"/>
    </row>
    <row r="49" spans="1:14" x14ac:dyDescent="0.25">
      <c r="A49" s="9"/>
      <c r="B49" s="8"/>
      <c r="C49" s="8"/>
      <c r="D49" s="8"/>
      <c r="E49" s="8"/>
      <c r="M49" s="3"/>
      <c r="N49" s="3"/>
    </row>
    <row r="50" spans="1:14" x14ac:dyDescent="0.25">
      <c r="A50" s="9"/>
      <c r="B50" s="8"/>
      <c r="C50" s="8"/>
      <c r="D50" s="8"/>
      <c r="E50" s="8"/>
      <c r="M50" s="3"/>
      <c r="N50" s="3"/>
    </row>
    <row r="51" spans="1:14" x14ac:dyDescent="0.25">
      <c r="A51" s="9"/>
      <c r="B51" s="8"/>
      <c r="C51" s="8"/>
      <c r="D51" s="8"/>
      <c r="E51" s="8"/>
      <c r="M51" s="3"/>
      <c r="N51" s="3"/>
    </row>
    <row r="52" spans="1:14" x14ac:dyDescent="0.25">
      <c r="B52" s="8"/>
      <c r="C52" s="8"/>
      <c r="D52" s="8"/>
      <c r="E52" s="8"/>
      <c r="M52" s="3"/>
      <c r="N52" s="3"/>
    </row>
    <row r="53" spans="1:14" x14ac:dyDescent="0.25">
      <c r="B53" s="8"/>
      <c r="C53" s="8"/>
      <c r="D53" s="8"/>
      <c r="E53" s="8"/>
      <c r="M53" s="3"/>
      <c r="N53" s="3"/>
    </row>
    <row r="54" spans="1:14" x14ac:dyDescent="0.25">
      <c r="B54" s="8"/>
      <c r="C54" s="8"/>
      <c r="D54" s="8"/>
      <c r="E54" s="8"/>
      <c r="M54" s="3"/>
      <c r="N54" s="3"/>
    </row>
    <row r="55" spans="1:14" x14ac:dyDescent="0.25">
      <c r="B55" s="8"/>
      <c r="C55" s="8"/>
      <c r="D55" s="8"/>
      <c r="E55" s="8"/>
      <c r="M55" s="3"/>
      <c r="N55" s="3"/>
    </row>
    <row r="56" spans="1:14" x14ac:dyDescent="0.25">
      <c r="B56" s="8"/>
      <c r="C56" s="8"/>
      <c r="D56" s="8"/>
      <c r="E56" s="8"/>
      <c r="M56" s="3"/>
      <c r="N56" s="3"/>
    </row>
    <row r="57" spans="1:14" x14ac:dyDescent="0.25">
      <c r="B57" s="8"/>
      <c r="C57" s="8"/>
      <c r="D57" s="8"/>
      <c r="E57" s="8"/>
      <c r="M57" s="3"/>
      <c r="N57" s="3"/>
    </row>
    <row r="58" spans="1:14" x14ac:dyDescent="0.25">
      <c r="B58" s="8"/>
      <c r="C58" s="8"/>
      <c r="D58" s="8"/>
      <c r="E58" s="8"/>
      <c r="M58" s="3"/>
      <c r="N58" s="3"/>
    </row>
    <row r="59" spans="1:14" x14ac:dyDescent="0.25">
      <c r="B59" s="8"/>
      <c r="C59" s="8"/>
      <c r="D59" s="8"/>
      <c r="E59" s="8"/>
      <c r="F59" s="35"/>
      <c r="M59" s="3"/>
      <c r="N59" s="3"/>
    </row>
    <row r="60" spans="1:14" x14ac:dyDescent="0.25">
      <c r="B60" s="8"/>
      <c r="C60" s="8"/>
      <c r="D60" s="8"/>
      <c r="E60" s="8"/>
      <c r="F60" s="35"/>
      <c r="M60" s="3"/>
      <c r="N60" s="3"/>
    </row>
    <row r="61" spans="1:14" x14ac:dyDescent="0.25">
      <c r="B61" s="8"/>
      <c r="C61" s="8"/>
      <c r="D61" s="8"/>
      <c r="E61" s="8"/>
      <c r="F61" s="35"/>
      <c r="M61" s="3"/>
      <c r="N61" s="3"/>
    </row>
    <row r="62" spans="1:14" x14ac:dyDescent="0.25">
      <c r="B62" s="8"/>
      <c r="C62" s="8"/>
      <c r="D62" s="8"/>
      <c r="E62" s="8"/>
      <c r="F62" s="35"/>
      <c r="M62" s="3"/>
      <c r="N62" s="3"/>
    </row>
    <row r="63" spans="1:14" x14ac:dyDescent="0.25">
      <c r="B63" s="8"/>
      <c r="C63" s="8"/>
      <c r="D63" s="8"/>
      <c r="E63" s="8"/>
      <c r="F63" s="35"/>
      <c r="M63" s="3"/>
      <c r="N63" s="3"/>
    </row>
    <row r="64" spans="1:14" x14ac:dyDescent="0.25">
      <c r="B64" s="8"/>
      <c r="C64" s="8"/>
      <c r="D64" s="8"/>
      <c r="E64" s="8"/>
      <c r="F64" s="35"/>
      <c r="M64" s="3"/>
      <c r="N64" s="3"/>
    </row>
    <row r="65" spans="2:14" x14ac:dyDescent="0.25">
      <c r="B65" s="8"/>
      <c r="C65" s="8"/>
      <c r="D65" s="8"/>
      <c r="E65" s="8"/>
      <c r="F65" s="35"/>
      <c r="M65" s="3"/>
      <c r="N65" s="3"/>
    </row>
    <row r="66" spans="2:14" x14ac:dyDescent="0.25">
      <c r="B66" s="8"/>
      <c r="C66" s="8"/>
      <c r="D66" s="8"/>
      <c r="E66" s="8"/>
      <c r="F66" s="35"/>
      <c r="M66" s="3"/>
      <c r="N66" s="3"/>
    </row>
    <row r="67" spans="2:14" x14ac:dyDescent="0.25">
      <c r="B67" s="8"/>
      <c r="C67" s="8"/>
      <c r="D67" s="8"/>
      <c r="E67" s="8"/>
      <c r="F67" s="35"/>
      <c r="M67" s="3"/>
      <c r="N67" s="3"/>
    </row>
    <row r="68" spans="2:14" x14ac:dyDescent="0.25">
      <c r="B68" s="8"/>
      <c r="C68" s="8"/>
      <c r="D68" s="8"/>
      <c r="E68" s="8"/>
      <c r="F68" s="35"/>
      <c r="M68" s="3"/>
      <c r="N68" s="3"/>
    </row>
    <row r="69" spans="2:14" x14ac:dyDescent="0.25">
      <c r="B69" s="8"/>
      <c r="C69" s="8"/>
      <c r="D69" s="8"/>
      <c r="E69" s="8"/>
      <c r="F69" s="35"/>
      <c r="M69" s="3"/>
      <c r="N69" s="3"/>
    </row>
    <row r="70" spans="2:14" x14ac:dyDescent="0.25">
      <c r="B70" s="8"/>
      <c r="C70" s="8"/>
      <c r="D70" s="8"/>
      <c r="E70" s="8"/>
      <c r="F70" s="35"/>
      <c r="M70" s="3"/>
      <c r="N70" s="3"/>
    </row>
    <row r="71" spans="2:14" x14ac:dyDescent="0.25">
      <c r="E71" s="35"/>
      <c r="F71" s="35"/>
      <c r="M71" s="3"/>
      <c r="N71" s="3"/>
    </row>
    <row r="72" spans="2:14" x14ac:dyDescent="0.25">
      <c r="E72" s="35"/>
      <c r="F72" s="35"/>
      <c r="M72" s="3"/>
      <c r="N72" s="3"/>
    </row>
    <row r="73" spans="2:14" x14ac:dyDescent="0.25">
      <c r="E73" s="35"/>
      <c r="F73" s="35"/>
      <c r="M73" s="3"/>
      <c r="N73" s="3"/>
    </row>
    <row r="74" spans="2:14" x14ac:dyDescent="0.25">
      <c r="E74" s="35"/>
      <c r="F74" s="35"/>
      <c r="M74" s="3"/>
      <c r="N74" s="3"/>
    </row>
    <row r="75" spans="2:14" x14ac:dyDescent="0.25">
      <c r="E75" s="35"/>
      <c r="F75" s="35"/>
      <c r="M75" s="3"/>
      <c r="N75" s="3"/>
    </row>
    <row r="76" spans="2:14" x14ac:dyDescent="0.25">
      <c r="E76" s="35"/>
      <c r="F76" s="35"/>
      <c r="M76" s="3"/>
      <c r="N76" s="3"/>
    </row>
    <row r="77" spans="2:14" x14ac:dyDescent="0.25">
      <c r="E77" s="35"/>
      <c r="F77" s="35"/>
      <c r="M77" s="3"/>
      <c r="N77" s="3"/>
    </row>
    <row r="78" spans="2:14" x14ac:dyDescent="0.25">
      <c r="E78" s="35"/>
      <c r="F78" s="35"/>
      <c r="M78" s="3"/>
      <c r="N78" s="3"/>
    </row>
    <row r="79" spans="2:14" x14ac:dyDescent="0.25">
      <c r="E79" s="35"/>
      <c r="F79" s="35"/>
      <c r="M79" s="3"/>
      <c r="N79" s="3"/>
    </row>
    <row r="80" spans="2:14" x14ac:dyDescent="0.25">
      <c r="E80" s="35"/>
      <c r="F80" s="35"/>
      <c r="M80" s="3"/>
      <c r="N80" s="3"/>
    </row>
    <row r="81" spans="5:14" x14ac:dyDescent="0.25">
      <c r="E81" s="35"/>
      <c r="F81" s="35"/>
      <c r="M81" s="3"/>
      <c r="N81" s="3"/>
    </row>
    <row r="82" spans="5:14" x14ac:dyDescent="0.25">
      <c r="E82" s="35"/>
      <c r="F82" s="35"/>
      <c r="M82" s="3"/>
      <c r="N82" s="3"/>
    </row>
    <row r="83" spans="5:14" x14ac:dyDescent="0.25">
      <c r="E83" s="35"/>
      <c r="F83" s="35"/>
      <c r="M83" s="3"/>
      <c r="N83" s="3"/>
    </row>
    <row r="84" spans="5:14" x14ac:dyDescent="0.25">
      <c r="E84" s="35"/>
      <c r="F84" s="35"/>
      <c r="M84" s="3"/>
      <c r="N84" s="3"/>
    </row>
    <row r="85" spans="5:14" x14ac:dyDescent="0.25">
      <c r="E85" s="35"/>
      <c r="F85" s="35"/>
      <c r="M85" s="3"/>
      <c r="N85" s="3"/>
    </row>
    <row r="86" spans="5:14" x14ac:dyDescent="0.25">
      <c r="E86" s="35"/>
      <c r="F86" s="35"/>
      <c r="M86" s="3"/>
      <c r="N86" s="3"/>
    </row>
    <row r="87" spans="5:14" x14ac:dyDescent="0.25">
      <c r="E87" s="35"/>
      <c r="F87" s="35"/>
      <c r="M87" s="3"/>
      <c r="N87" s="3"/>
    </row>
    <row r="88" spans="5:14" x14ac:dyDescent="0.25">
      <c r="E88" s="35"/>
      <c r="F88" s="35"/>
      <c r="M88" s="3"/>
      <c r="N88" s="3"/>
    </row>
  </sheetData>
  <dataValidations count="4">
    <dataValidation type="list" errorStyle="information" allowBlank="1" showInputMessage="1" showErrorMessage="1" promptTitle="Curve Choice" sqref="B3">
      <formula1>"Cooling, Heating, Other"</formula1>
    </dataValidation>
    <dataValidation type="list" allowBlank="1" showErrorMessage="1" promptTitle="Curve Type" sqref="B4">
      <formula1>"Temperature, Flow"</formula1>
    </dataValidation>
    <dataValidation type="list" allowBlank="1" showInputMessage="1" showErrorMessage="1" sqref="B5">
      <formula1>"Biquadratic, Cubic, Quadratic"</formula1>
    </dataValidation>
    <dataValidation type="list" allowBlank="1" showInputMessage="1" showErrorMessage="1" sqref="B6">
      <formula1>"IP, SI"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ManageCurveFit">
                <anchor moveWithCells="1" sizeWithCells="1">
                  <from>
                    <xdr:col>3</xdr:col>
                    <xdr:colOff>104775</xdr:colOff>
                    <xdr:row>3</xdr:row>
                    <xdr:rowOff>38100</xdr:rowOff>
                  </from>
                  <to>
                    <xdr:col>4</xdr:col>
                    <xdr:colOff>1409700</xdr:colOff>
                    <xdr:row>5</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M49"/>
  <sheetViews>
    <sheetView zoomScale="85" zoomScaleNormal="85" workbookViewId="0">
      <selection activeCell="E12" sqref="E12"/>
    </sheetView>
  </sheetViews>
  <sheetFormatPr defaultRowHeight="15" x14ac:dyDescent="0.25"/>
  <cols>
    <col min="1" max="1" width="3.140625" customWidth="1"/>
    <col min="2" max="2" width="28.42578125" bestFit="1" customWidth="1"/>
    <col min="3" max="3" width="24.42578125" bestFit="1" customWidth="1"/>
    <col min="4" max="8" width="9.7109375" customWidth="1"/>
    <col min="9" max="9" width="13.5703125" customWidth="1"/>
    <col min="10" max="10" width="12.28515625" customWidth="1"/>
    <col min="13" max="13" width="47" customWidth="1"/>
  </cols>
  <sheetData>
    <row r="2" spans="2:13" x14ac:dyDescent="0.25">
      <c r="B2" s="4" t="s">
        <v>44</v>
      </c>
      <c r="C2" s="69" t="s">
        <v>81</v>
      </c>
    </row>
    <row r="3" spans="2:13" x14ac:dyDescent="0.25">
      <c r="B3" s="6" t="s">
        <v>63</v>
      </c>
      <c r="C3" s="69" t="s">
        <v>82</v>
      </c>
    </row>
    <row r="6" spans="2:13" x14ac:dyDescent="0.25">
      <c r="B6" s="56" t="s">
        <v>62</v>
      </c>
      <c r="C6" s="57" t="s">
        <v>9</v>
      </c>
    </row>
    <row r="7" spans="2:13" x14ac:dyDescent="0.25">
      <c r="B7" s="60" t="s">
        <v>55</v>
      </c>
      <c r="C7" s="57"/>
      <c r="E7" s="56"/>
    </row>
    <row r="8" spans="2:13" x14ac:dyDescent="0.25">
      <c r="B8" s="60" t="s">
        <v>65</v>
      </c>
      <c r="C8" s="57" t="s">
        <v>43</v>
      </c>
      <c r="E8" s="56"/>
    </row>
    <row r="9" spans="2:13" x14ac:dyDescent="0.25">
      <c r="B9" s="60">
        <v>1.4071404545999999</v>
      </c>
      <c r="C9" s="57" t="s">
        <v>10</v>
      </c>
      <c r="E9" s="56"/>
      <c r="M9" s="66"/>
    </row>
    <row r="10" spans="2:13" x14ac:dyDescent="0.25">
      <c r="B10" s="60">
        <v>-5.3135346E-2</v>
      </c>
      <c r="C10" s="57" t="s">
        <v>11</v>
      </c>
      <c r="E10" s="56"/>
      <c r="M10" s="66"/>
    </row>
    <row r="11" spans="2:13" x14ac:dyDescent="0.25">
      <c r="B11" s="60">
        <v>2.6360200999999998E-3</v>
      </c>
      <c r="C11" s="57" t="s">
        <v>12</v>
      </c>
      <c r="E11" s="56"/>
      <c r="M11" s="66"/>
    </row>
    <row r="12" spans="2:13" x14ac:dyDescent="0.25">
      <c r="B12" s="60">
        <v>-1.6726232999999999E-3</v>
      </c>
      <c r="C12" s="57" t="s">
        <v>56</v>
      </c>
      <c r="E12" s="56"/>
      <c r="M12" s="66"/>
    </row>
    <row r="13" spans="2:13" x14ac:dyDescent="0.25">
      <c r="B13" s="60">
        <v>-7.7623000000000002E-6</v>
      </c>
      <c r="C13" s="57" t="s">
        <v>57</v>
      </c>
      <c r="E13" s="56"/>
      <c r="M13" s="66"/>
    </row>
    <row r="14" spans="2:13" x14ac:dyDescent="0.25">
      <c r="B14" s="60">
        <v>-4.4455729999999999E-4</v>
      </c>
      <c r="C14" s="57" t="s">
        <v>58</v>
      </c>
      <c r="E14" s="56"/>
      <c r="M14" s="66"/>
    </row>
    <row r="15" spans="2:13" x14ac:dyDescent="0.25">
      <c r="B15" s="63">
        <v>13.89</v>
      </c>
      <c r="C15" s="57" t="s">
        <v>13</v>
      </c>
      <c r="E15" s="56"/>
      <c r="M15" s="66"/>
    </row>
    <row r="16" spans="2:13" x14ac:dyDescent="0.25">
      <c r="B16" s="63">
        <v>22.22</v>
      </c>
      <c r="C16" s="57" t="s">
        <v>14</v>
      </c>
      <c r="E16" s="56"/>
      <c r="M16" s="66"/>
    </row>
    <row r="17" spans="2:13" x14ac:dyDescent="0.25">
      <c r="B17" s="63">
        <v>29.44</v>
      </c>
      <c r="C17" s="57" t="s">
        <v>59</v>
      </c>
      <c r="E17" s="56"/>
      <c r="M17" s="66"/>
    </row>
    <row r="18" spans="2:13" x14ac:dyDescent="0.25">
      <c r="B18" s="63">
        <v>46.11</v>
      </c>
      <c r="C18" s="57" t="s">
        <v>60</v>
      </c>
      <c r="E18" s="56"/>
      <c r="M18" s="66"/>
    </row>
    <row r="19" spans="2:13" x14ac:dyDescent="0.25">
      <c r="B19" s="61">
        <v>0.7964</v>
      </c>
      <c r="C19" s="57" t="s">
        <v>15</v>
      </c>
      <c r="E19" s="56"/>
      <c r="M19" s="66"/>
    </row>
    <row r="20" spans="2:13" x14ac:dyDescent="0.25">
      <c r="B20" s="61">
        <v>1.1653</v>
      </c>
      <c r="C20" s="57" t="s">
        <v>16</v>
      </c>
      <c r="E20" s="56"/>
      <c r="M20" s="66"/>
    </row>
    <row r="21" spans="2:13" x14ac:dyDescent="0.25">
      <c r="B21" s="56" t="s">
        <v>48</v>
      </c>
      <c r="C21" s="57" t="s">
        <v>17</v>
      </c>
      <c r="E21" s="56"/>
    </row>
    <row r="22" spans="2:13" x14ac:dyDescent="0.25">
      <c r="B22" s="56" t="s">
        <v>48</v>
      </c>
      <c r="C22" s="57" t="s">
        <v>61</v>
      </c>
    </row>
    <row r="23" spans="2:13" x14ac:dyDescent="0.25">
      <c r="B23" s="56" t="s">
        <v>18</v>
      </c>
      <c r="C23" s="57" t="s">
        <v>19</v>
      </c>
    </row>
    <row r="24" spans="2:13" x14ac:dyDescent="0.25">
      <c r="B24" s="56"/>
      <c r="C24" s="57"/>
    </row>
    <row r="25" spans="2:13" x14ac:dyDescent="0.25">
      <c r="B25" s="56"/>
      <c r="C25" s="57"/>
    </row>
    <row r="26" spans="2:13" x14ac:dyDescent="0.25">
      <c r="B26" s="60" t="s">
        <v>80</v>
      </c>
      <c r="C26" s="57" t="s">
        <v>9</v>
      </c>
      <c r="E26" s="56"/>
      <c r="F26" s="57"/>
    </row>
    <row r="27" spans="2:13" x14ac:dyDescent="0.25">
      <c r="B27" s="60" t="s">
        <v>55</v>
      </c>
      <c r="C27" s="57"/>
      <c r="E27" s="56"/>
      <c r="F27" s="57"/>
    </row>
    <row r="28" spans="2:13" x14ac:dyDescent="0.25">
      <c r="B28" s="60" t="s">
        <v>66</v>
      </c>
      <c r="C28" s="57" t="s">
        <v>43</v>
      </c>
      <c r="E28" s="56"/>
      <c r="F28" s="57"/>
    </row>
    <row r="29" spans="2:13" x14ac:dyDescent="0.25">
      <c r="B29" s="60">
        <v>0.14556900380000001</v>
      </c>
      <c r="C29" s="57" t="s">
        <v>10</v>
      </c>
      <c r="E29" s="56"/>
      <c r="F29" s="57"/>
      <c r="M29" s="66"/>
    </row>
    <row r="30" spans="2:13" x14ac:dyDescent="0.25">
      <c r="B30" s="60">
        <v>4.5092728200000001E-2</v>
      </c>
      <c r="C30" s="57" t="s">
        <v>11</v>
      </c>
      <c r="E30" s="56"/>
      <c r="F30" s="57"/>
      <c r="M30" s="66"/>
    </row>
    <row r="31" spans="2:13" x14ac:dyDescent="0.25">
      <c r="B31" s="60">
        <v>-1.5553886E-3</v>
      </c>
      <c r="C31" s="57" t="s">
        <v>12</v>
      </c>
      <c r="E31" s="56"/>
      <c r="F31" s="57"/>
      <c r="M31" s="66"/>
    </row>
    <row r="32" spans="2:13" x14ac:dyDescent="0.25">
      <c r="B32" s="60">
        <v>1.0709694299999999E-2</v>
      </c>
      <c r="C32" s="57" t="s">
        <v>56</v>
      </c>
      <c r="E32" s="56"/>
      <c r="F32" s="57"/>
      <c r="M32" s="66"/>
    </row>
    <row r="33" spans="2:13" x14ac:dyDescent="0.25">
      <c r="B33" s="60">
        <v>2.343511E-4</v>
      </c>
      <c r="C33" s="57" t="s">
        <v>57</v>
      </c>
      <c r="E33" s="56"/>
      <c r="F33" s="57"/>
      <c r="M33" s="66"/>
    </row>
    <row r="34" spans="2:13" x14ac:dyDescent="0.25">
      <c r="B34" s="60">
        <v>-1.4138470000000001E-4</v>
      </c>
      <c r="C34" s="57" t="s">
        <v>58</v>
      </c>
      <c r="E34" s="56"/>
      <c r="F34" s="57"/>
      <c r="M34" s="66"/>
    </row>
    <row r="35" spans="2:13" x14ac:dyDescent="0.25">
      <c r="B35" s="63">
        <v>13.89</v>
      </c>
      <c r="C35" s="57" t="s">
        <v>13</v>
      </c>
      <c r="E35" s="56"/>
      <c r="F35" s="57"/>
      <c r="M35" s="66"/>
    </row>
    <row r="36" spans="2:13" x14ac:dyDescent="0.25">
      <c r="B36" s="56">
        <v>22.22</v>
      </c>
      <c r="C36" s="57" t="s">
        <v>14</v>
      </c>
      <c r="E36" s="56"/>
      <c r="F36" s="57"/>
      <c r="M36" s="66"/>
    </row>
    <row r="37" spans="2:13" x14ac:dyDescent="0.25">
      <c r="B37" s="56">
        <v>29.44</v>
      </c>
      <c r="C37" s="57" t="s">
        <v>59</v>
      </c>
      <c r="E37" s="56"/>
      <c r="F37" s="57"/>
      <c r="M37" s="66"/>
    </row>
    <row r="38" spans="2:13" x14ac:dyDescent="0.25">
      <c r="B38" s="56">
        <v>46.11</v>
      </c>
      <c r="C38" s="57" t="s">
        <v>60</v>
      </c>
      <c r="E38" s="56"/>
      <c r="F38" s="57"/>
      <c r="M38" s="66"/>
    </row>
    <row r="39" spans="2:13" x14ac:dyDescent="0.25">
      <c r="B39" s="56">
        <v>0.82130000000000003</v>
      </c>
      <c r="C39" s="57" t="s">
        <v>15</v>
      </c>
      <c r="E39" s="56"/>
      <c r="F39" s="57"/>
      <c r="M39" s="66"/>
    </row>
    <row r="40" spans="2:13" x14ac:dyDescent="0.25">
      <c r="B40" s="56">
        <v>1.3717999999999999</v>
      </c>
      <c r="C40" s="57" t="s">
        <v>16</v>
      </c>
      <c r="E40" s="56"/>
      <c r="F40" s="57"/>
      <c r="M40" s="66"/>
    </row>
    <row r="41" spans="2:13" x14ac:dyDescent="0.25">
      <c r="B41" s="56" t="s">
        <v>48</v>
      </c>
      <c r="C41" s="57" t="s">
        <v>17</v>
      </c>
    </row>
    <row r="42" spans="2:13" x14ac:dyDescent="0.25">
      <c r="B42" s="56" t="s">
        <v>48</v>
      </c>
      <c r="C42" s="57" t="s">
        <v>61</v>
      </c>
    </row>
    <row r="43" spans="2:13" x14ac:dyDescent="0.25">
      <c r="B43" s="56" t="s">
        <v>18</v>
      </c>
      <c r="C43" s="57" t="s">
        <v>19</v>
      </c>
    </row>
    <row r="44" spans="2:13" x14ac:dyDescent="0.25">
      <c r="B44" s="56"/>
      <c r="C44" s="57"/>
    </row>
    <row r="45" spans="2:13" x14ac:dyDescent="0.25">
      <c r="B45" s="56"/>
    </row>
    <row r="46" spans="2:13" x14ac:dyDescent="0.25">
      <c r="B46" s="56"/>
    </row>
    <row r="47" spans="2:13" x14ac:dyDescent="0.25">
      <c r="B47" s="56"/>
    </row>
    <row r="48" spans="2:13" x14ac:dyDescent="0.25">
      <c r="B48" s="56"/>
    </row>
    <row r="49" spans="2:2" x14ac:dyDescent="0.25">
      <c r="B49" s="5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aveCurveObjToTextFile">
                <anchor moveWithCells="1" sizeWithCells="1">
                  <from>
                    <xdr:col>3</xdr:col>
                    <xdr:colOff>9525</xdr:colOff>
                    <xdr:row>4</xdr:row>
                    <xdr:rowOff>0</xdr:rowOff>
                  </from>
                  <to>
                    <xdr:col>6</xdr:col>
                    <xdr:colOff>295275</xdr:colOff>
                    <xdr:row>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R510"/>
  <sheetViews>
    <sheetView showGridLines="0" tabSelected="1" zoomScale="50" zoomScaleNormal="50" workbookViewId="0">
      <selection activeCell="M5" sqref="M5"/>
    </sheetView>
  </sheetViews>
  <sheetFormatPr defaultRowHeight="15" x14ac:dyDescent="0.25"/>
  <cols>
    <col min="1" max="1" width="15.7109375" style="86" customWidth="1"/>
    <col min="2" max="14" width="12.7109375" style="86" customWidth="1"/>
    <col min="15" max="15" width="12.7109375" style="87" customWidth="1"/>
    <col min="16" max="25" width="12.7109375" style="86" customWidth="1"/>
    <col min="26" max="26" width="15.7109375" style="86" customWidth="1"/>
    <col min="27" max="40" width="12.7109375" style="86" customWidth="1"/>
    <col min="41" max="41" width="23.85546875" style="86" bestFit="1" customWidth="1"/>
    <col min="42" max="42" width="12.7109375" style="86" customWidth="1"/>
    <col min="43" max="46" width="15.7109375" style="86" customWidth="1"/>
    <col min="47" max="85" width="12.7109375" style="86" customWidth="1"/>
    <col min="86" max="16384" width="9.140625" style="86"/>
  </cols>
  <sheetData>
    <row r="1" spans="1:11" ht="66" customHeight="1" x14ac:dyDescent="0.25">
      <c r="A1" s="83" t="s">
        <v>83</v>
      </c>
      <c r="B1" s="84"/>
      <c r="C1" s="84"/>
      <c r="D1" s="84"/>
      <c r="E1" s="84"/>
      <c r="F1" s="84"/>
      <c r="G1" s="84"/>
      <c r="H1" s="84"/>
      <c r="I1" s="84"/>
      <c r="J1" s="84"/>
      <c r="K1" s="85"/>
    </row>
    <row r="33" spans="1:20" s="101" customFormat="1" ht="21" x14ac:dyDescent="0.35">
      <c r="A33" s="88"/>
      <c r="B33" s="89"/>
      <c r="C33" s="89"/>
      <c r="D33" s="90" t="s">
        <v>84</v>
      </c>
      <c r="E33" s="91" t="str">
        <f>A47</f>
        <v>VRFfc Htg Capacity f(Toa)</v>
      </c>
      <c r="F33" s="89"/>
      <c r="G33" s="92"/>
      <c r="H33" s="93"/>
      <c r="I33" s="93"/>
      <c r="J33" s="93"/>
      <c r="K33" s="94"/>
      <c r="L33" s="95" t="s">
        <v>85</v>
      </c>
      <c r="M33" s="96"/>
      <c r="N33" s="97" t="s">
        <v>86</v>
      </c>
      <c r="O33" s="97"/>
      <c r="P33" s="97"/>
      <c r="Q33" s="98" t="s">
        <v>87</v>
      </c>
      <c r="R33" s="99"/>
      <c r="S33" s="99"/>
      <c r="T33" s="100"/>
    </row>
    <row r="34" spans="1:20" ht="30.75" x14ac:dyDescent="0.3">
      <c r="A34" s="102" t="str">
        <f>A48</f>
        <v>Toa (X)</v>
      </c>
      <c r="B34" s="102" t="s">
        <v>88</v>
      </c>
      <c r="C34" s="102" t="s">
        <v>89</v>
      </c>
      <c r="D34" s="102" t="str">
        <f t="shared" ref="D34:D40" si="0">B48</f>
        <v>% Capacity (Y)*</v>
      </c>
      <c r="E34" s="102" t="s">
        <v>90</v>
      </c>
      <c r="F34" s="102" t="s">
        <v>91</v>
      </c>
      <c r="G34" s="103" t="s">
        <v>92</v>
      </c>
      <c r="H34" s="104" t="s">
        <v>93</v>
      </c>
      <c r="I34" s="105"/>
      <c r="J34" s="105"/>
      <c r="K34" s="106"/>
      <c r="L34" s="107" t="s">
        <v>94</v>
      </c>
      <c r="M34" s="108" t="s">
        <v>95</v>
      </c>
      <c r="N34" s="109" t="s">
        <v>96</v>
      </c>
      <c r="O34" s="109" t="s">
        <v>94</v>
      </c>
      <c r="P34" s="109" t="s">
        <v>95</v>
      </c>
      <c r="Q34" s="110" t="s">
        <v>97</v>
      </c>
      <c r="R34" s="110" t="s">
        <v>96</v>
      </c>
      <c r="S34" s="110" t="s">
        <v>94</v>
      </c>
      <c r="T34" s="110" t="s">
        <v>95</v>
      </c>
    </row>
    <row r="35" spans="1:20" x14ac:dyDescent="0.25">
      <c r="A35" s="111">
        <f>K40</f>
        <v>-18</v>
      </c>
      <c r="B35" s="112">
        <f t="shared" ref="B35:B40" si="1">A35^2</f>
        <v>324</v>
      </c>
      <c r="C35" s="112">
        <f t="shared" ref="C35:C40" si="2">A35^3</f>
        <v>-5832</v>
      </c>
      <c r="D35" s="113">
        <f t="shared" si="0"/>
        <v>0.4</v>
      </c>
      <c r="E35" s="114">
        <f t="shared" ref="E35:E40" si="3">$I$36+$I$37*$A35</f>
        <v>0.35570900000000005</v>
      </c>
      <c r="F35" s="115">
        <f t="shared" ref="F35:F40" si="4">$J$36+$J$37*$A35+$J$38*$B35</f>
        <v>0.38978600000000002</v>
      </c>
      <c r="G35" s="116">
        <f t="shared" ref="G35:G40" si="5">$K$36+$K$37*$A35+$K$38*$B35++$K$39*$C35</f>
        <v>0.39887239212827985</v>
      </c>
      <c r="H35" s="117"/>
      <c r="I35" s="118" t="s">
        <v>85</v>
      </c>
      <c r="J35" s="119" t="s">
        <v>86</v>
      </c>
      <c r="K35" s="120" t="s">
        <v>87</v>
      </c>
      <c r="L35" s="121">
        <f t="array" ref="L35:M41">LINEST(D35:D40,A35:A40,TRUE,TRUE)</f>
        <v>-5.7653061224489793E-3</v>
      </c>
      <c r="M35" s="121">
        <v>0.25193877551020405</v>
      </c>
      <c r="N35" s="127">
        <f t="array" ref="N35:P41">LINEST(D35:D40,A35:B40,TRUE,TRUE)</f>
        <v>3.2457179300291551E-4</v>
      </c>
      <c r="O35" s="127">
        <v>-3.1687317784256557E-3</v>
      </c>
      <c r="P35" s="127">
        <v>0.22744442419825073</v>
      </c>
      <c r="Q35" s="134">
        <f t="array" ref="Q35:T41">LINEST(D35:D40,A35:C40,TRUE,TRUE)</f>
        <v>-1.7399072724327815E-5</v>
      </c>
      <c r="R35" s="134">
        <v>1.1578292031098163E-4</v>
      </c>
      <c r="S35" s="134">
        <v>-1.2484309199870445E-3</v>
      </c>
      <c r="T35" s="135">
        <v>0.23735270894071914</v>
      </c>
    </row>
    <row r="36" spans="1:20" x14ac:dyDescent="0.25">
      <c r="A36" s="147">
        <f>A35+0.2*($K41-$K40)</f>
        <v>-12.399999999999999</v>
      </c>
      <c r="B36" s="112">
        <f t="shared" si="1"/>
        <v>153.75999999999996</v>
      </c>
      <c r="C36" s="112">
        <f t="shared" si="2"/>
        <v>-1906.6239999999993</v>
      </c>
      <c r="D36" s="113">
        <f t="shared" si="0"/>
        <v>0.3</v>
      </c>
      <c r="E36" s="114">
        <f t="shared" si="3"/>
        <v>0.32342500000000002</v>
      </c>
      <c r="F36" s="115">
        <f t="shared" si="4"/>
        <v>0.31671159999999998</v>
      </c>
      <c r="G36" s="116">
        <f t="shared" si="5"/>
        <v>0.30383784963394878</v>
      </c>
      <c r="H36" s="148" t="s">
        <v>98</v>
      </c>
      <c r="I36" s="149">
        <f>ROUND(M35,6)</f>
        <v>0.25193900000000002</v>
      </c>
      <c r="J36" s="150">
        <f>ROUND(P35,6)</f>
        <v>0.22744400000000001</v>
      </c>
      <c r="K36" s="151">
        <f>ROUND(T35,6)</f>
        <v>0.23735300000000001</v>
      </c>
      <c r="L36" s="122">
        <v>1.4331195821620552E-3</v>
      </c>
      <c r="M36" s="123">
        <v>1.485659619985562E-2</v>
      </c>
      <c r="N36" s="128">
        <v>7.626883951463749E-5</v>
      </c>
      <c r="O36" s="129">
        <v>8.7260796622857227E-4</v>
      </c>
      <c r="P36" s="130">
        <v>8.6573972415469758E-3</v>
      </c>
      <c r="Q36" s="122">
        <v>2.9891960695908056E-6</v>
      </c>
      <c r="R36" s="136">
        <v>4.2107577570361968E-5</v>
      </c>
      <c r="S36" s="136">
        <v>4.1534034250135718E-4</v>
      </c>
      <c r="T36" s="137">
        <v>3.0272871308735902E-3</v>
      </c>
    </row>
    <row r="37" spans="1:20" x14ac:dyDescent="0.25">
      <c r="A37" s="147">
        <f>A36+0.2*($K41-$K40)</f>
        <v>-6.799999999999998</v>
      </c>
      <c r="B37" s="112">
        <f t="shared" si="1"/>
        <v>46.239999999999974</v>
      </c>
      <c r="C37" s="112">
        <f t="shared" si="2"/>
        <v>-314.43199999999973</v>
      </c>
      <c r="D37" s="113">
        <f t="shared" si="0"/>
        <v>0.26</v>
      </c>
      <c r="E37" s="114">
        <f t="shared" si="3"/>
        <v>0.29114099999999998</v>
      </c>
      <c r="F37" s="115">
        <f t="shared" si="4"/>
        <v>0.26402120000000001</v>
      </c>
      <c r="G37" s="116">
        <f t="shared" si="5"/>
        <v>0.25667406523485581</v>
      </c>
      <c r="H37" s="152"/>
      <c r="I37" s="149">
        <f>ROUND(L35,6)</f>
        <v>-5.7650000000000002E-3</v>
      </c>
      <c r="J37" s="150">
        <f>ROUND(O35,6)</f>
        <v>-3.1689999999999999E-3</v>
      </c>
      <c r="K37" s="151">
        <f>ROUND(S35,6)</f>
        <v>-1.248E-3</v>
      </c>
      <c r="L37" s="124">
        <v>0.80182103610675048</v>
      </c>
      <c r="M37" s="123">
        <v>3.3572948293869836E-2</v>
      </c>
      <c r="N37" s="124">
        <v>0.97183673469387755</v>
      </c>
      <c r="O37" s="129">
        <v>1.4614083227196586E-2</v>
      </c>
      <c r="P37" s="130" t="e">
        <v>#N/A</v>
      </c>
      <c r="Q37" s="124">
        <v>0.99843014128728413</v>
      </c>
      <c r="R37" s="138">
        <v>4.2257712736425727E-3</v>
      </c>
      <c r="S37" s="138" t="e">
        <v>#N/A</v>
      </c>
      <c r="T37" s="137" t="e">
        <v>#N/A</v>
      </c>
    </row>
    <row r="38" spans="1:20" x14ac:dyDescent="0.25">
      <c r="A38" s="147">
        <f>A37+0.2*($K41-$K40)</f>
        <v>-1.1999999999999975</v>
      </c>
      <c r="B38" s="112">
        <f t="shared" si="1"/>
        <v>1.439999999999994</v>
      </c>
      <c r="C38" s="112">
        <f t="shared" si="2"/>
        <v>-1.7279999999999891</v>
      </c>
      <c r="D38" s="113">
        <f t="shared" si="0"/>
        <v>0.24</v>
      </c>
      <c r="E38" s="114">
        <f t="shared" si="3"/>
        <v>0.258857</v>
      </c>
      <c r="F38" s="115">
        <f t="shared" si="4"/>
        <v>0.2317148</v>
      </c>
      <c r="G38" s="116">
        <f t="shared" si="5"/>
        <v>0.23904770559766764</v>
      </c>
      <c r="H38" s="152"/>
      <c r="I38" s="153">
        <f>C56</f>
        <v>-18</v>
      </c>
      <c r="J38" s="150">
        <f>ROUND(N35,6)</f>
        <v>3.2499999999999999E-4</v>
      </c>
      <c r="K38" s="151">
        <f>ROUND(R35,6)</f>
        <v>1.16E-4</v>
      </c>
      <c r="L38" s="122">
        <v>16.183776932826362</v>
      </c>
      <c r="M38" s="123">
        <v>4</v>
      </c>
      <c r="N38" s="128">
        <v>51.760869565217391</v>
      </c>
      <c r="O38" s="129">
        <v>3</v>
      </c>
      <c r="P38" s="130" t="e">
        <v>#N/A</v>
      </c>
      <c r="Q38" s="122">
        <v>424.0000000000021</v>
      </c>
      <c r="R38" s="136">
        <v>2</v>
      </c>
      <c r="S38" s="136" t="e">
        <v>#N/A</v>
      </c>
      <c r="T38" s="137" t="e">
        <v>#N/A</v>
      </c>
    </row>
    <row r="39" spans="1:20" x14ac:dyDescent="0.25">
      <c r="A39" s="147">
        <f>A38+0.2*($K41-$K40)</f>
        <v>4.400000000000003</v>
      </c>
      <c r="B39" s="112">
        <f t="shared" si="1"/>
        <v>19.360000000000028</v>
      </c>
      <c r="C39" s="112">
        <f t="shared" si="2"/>
        <v>85.184000000000182</v>
      </c>
      <c r="D39" s="113">
        <f t="shared" si="0"/>
        <v>0.23</v>
      </c>
      <c r="E39" s="114">
        <f t="shared" si="3"/>
        <v>0.226573</v>
      </c>
      <c r="F39" s="115">
        <f t="shared" si="4"/>
        <v>0.21979240000000003</v>
      </c>
      <c r="G39" s="116">
        <f t="shared" si="5"/>
        <v>0.23262543738905087</v>
      </c>
      <c r="H39" s="152"/>
      <c r="I39" s="153">
        <f>C57</f>
        <v>10</v>
      </c>
      <c r="J39" s="154">
        <f>C56</f>
        <v>-18</v>
      </c>
      <c r="K39" s="151">
        <f>Q35</f>
        <v>-1.7399072724327815E-5</v>
      </c>
      <c r="L39" s="122">
        <v>1.8241428571428575E-2</v>
      </c>
      <c r="M39" s="123">
        <v>4.5085714285714295E-3</v>
      </c>
      <c r="N39" s="128">
        <v>2.2109285714285717E-2</v>
      </c>
      <c r="O39" s="129">
        <v>6.407142857142858E-4</v>
      </c>
      <c r="P39" s="130" t="e">
        <v>#N/A</v>
      </c>
      <c r="Q39" s="139">
        <v>2.2714285714285718E-2</v>
      </c>
      <c r="R39" s="140">
        <v>3.5714285714285541E-5</v>
      </c>
      <c r="S39" s="140" t="e">
        <v>#N/A</v>
      </c>
      <c r="T39" s="137" t="e">
        <v>#N/A</v>
      </c>
    </row>
    <row r="40" spans="1:20" x14ac:dyDescent="0.25">
      <c r="A40" s="111">
        <f>K41</f>
        <v>10</v>
      </c>
      <c r="B40" s="112">
        <f t="shared" si="1"/>
        <v>100</v>
      </c>
      <c r="C40" s="112">
        <f t="shared" si="2"/>
        <v>1000</v>
      </c>
      <c r="D40" s="113">
        <f t="shared" si="0"/>
        <v>0.22</v>
      </c>
      <c r="E40" s="114">
        <f t="shared" si="3"/>
        <v>0.19428900000000002</v>
      </c>
      <c r="F40" s="115">
        <f t="shared" si="4"/>
        <v>0.22825400000000001</v>
      </c>
      <c r="G40" s="116">
        <f t="shared" si="5"/>
        <v>0.21907392727567221</v>
      </c>
      <c r="H40" s="152"/>
      <c r="I40" s="153"/>
      <c r="J40" s="154">
        <f>C57</f>
        <v>10</v>
      </c>
      <c r="K40" s="155">
        <f>C56</f>
        <v>-18</v>
      </c>
      <c r="L40" s="122" t="e">
        <v>#N/A</v>
      </c>
      <c r="M40" s="123" t="e">
        <v>#N/A</v>
      </c>
      <c r="N40" s="128" t="e">
        <v>#N/A</v>
      </c>
      <c r="O40" s="129" t="e">
        <v>#N/A</v>
      </c>
      <c r="P40" s="130" t="e">
        <v>#N/A</v>
      </c>
      <c r="Q40" s="141" t="e">
        <v>#N/A</v>
      </c>
      <c r="R40" s="142" t="e">
        <v>#N/A</v>
      </c>
      <c r="S40" s="142" t="e">
        <v>#N/A</v>
      </c>
      <c r="T40" s="143" t="e">
        <v>#N/A</v>
      </c>
    </row>
    <row r="41" spans="1:20" x14ac:dyDescent="0.25">
      <c r="F41" s="156"/>
      <c r="H41" s="157"/>
      <c r="I41" s="153"/>
      <c r="J41" s="154"/>
      <c r="K41" s="155">
        <f>C57</f>
        <v>10</v>
      </c>
      <c r="L41" s="125" t="e">
        <v>#N/A</v>
      </c>
      <c r="M41" s="126" t="e">
        <v>#N/A</v>
      </c>
      <c r="N41" s="131" t="e">
        <v>#N/A</v>
      </c>
      <c r="O41" s="132" t="e">
        <v>#N/A</v>
      </c>
      <c r="P41" s="133" t="e">
        <v>#N/A</v>
      </c>
      <c r="Q41" s="144" t="e">
        <v>#N/A</v>
      </c>
      <c r="R41" s="145" t="e">
        <v>#N/A</v>
      </c>
      <c r="S41" s="145" t="e">
        <v>#N/A</v>
      </c>
      <c r="T41" s="146" t="e">
        <v>#N/A</v>
      </c>
    </row>
    <row r="42" spans="1:20" x14ac:dyDescent="0.25">
      <c r="A42" s="158" t="s">
        <v>99</v>
      </c>
      <c r="B42" s="159"/>
      <c r="C42" s="159"/>
      <c r="F42" s="156"/>
      <c r="H42" s="160"/>
      <c r="I42" s="111"/>
      <c r="O42" s="86"/>
    </row>
    <row r="43" spans="1:20" x14ac:dyDescent="0.25">
      <c r="A43" s="161" t="s">
        <v>100</v>
      </c>
      <c r="B43" s="159"/>
      <c r="C43" s="159"/>
      <c r="F43" s="156"/>
      <c r="H43" s="160"/>
      <c r="I43" s="111"/>
    </row>
    <row r="44" spans="1:20" x14ac:dyDescent="0.25">
      <c r="B44" s="159"/>
      <c r="C44" s="159"/>
      <c r="F44" s="156"/>
      <c r="H44" s="160"/>
      <c r="I44" s="162"/>
    </row>
    <row r="45" spans="1:20" x14ac:dyDescent="0.25">
      <c r="B45" s="159"/>
      <c r="C45" s="159"/>
      <c r="F45" s="156"/>
    </row>
    <row r="46" spans="1:20" x14ac:dyDescent="0.25">
      <c r="A46" s="163" t="s">
        <v>101</v>
      </c>
      <c r="B46" s="163"/>
      <c r="C46" s="163"/>
      <c r="D46" s="164" t="s">
        <v>102</v>
      </c>
      <c r="E46" s="164"/>
      <c r="F46" s="164"/>
      <c r="G46" s="164" t="s">
        <v>102</v>
      </c>
      <c r="H46" s="164"/>
      <c r="I46" s="164"/>
    </row>
    <row r="47" spans="1:20" x14ac:dyDescent="0.25">
      <c r="A47" s="165" t="s">
        <v>103</v>
      </c>
      <c r="B47" s="166"/>
      <c r="C47" s="167"/>
      <c r="D47" s="168" t="s">
        <v>103</v>
      </c>
      <c r="E47" s="169"/>
      <c r="F47" s="170"/>
      <c r="G47" s="168" t="s">
        <v>104</v>
      </c>
      <c r="H47" s="169"/>
      <c r="I47" s="170"/>
    </row>
    <row r="48" spans="1:20" ht="30" x14ac:dyDescent="0.25">
      <c r="A48" s="171" t="s">
        <v>105</v>
      </c>
      <c r="B48" s="172" t="s">
        <v>106</v>
      </c>
      <c r="C48" s="172"/>
      <c r="D48" s="173" t="s">
        <v>105</v>
      </c>
      <c r="E48" s="174" t="s">
        <v>106</v>
      </c>
      <c r="F48" s="174"/>
      <c r="G48" s="173" t="s">
        <v>105</v>
      </c>
      <c r="H48" s="174" t="s">
        <v>106</v>
      </c>
      <c r="I48" s="174"/>
    </row>
    <row r="49" spans="1:15" x14ac:dyDescent="0.25">
      <c r="A49" s="175">
        <f>C56</f>
        <v>-18</v>
      </c>
      <c r="B49" s="176">
        <v>0.4</v>
      </c>
      <c r="C49" s="177"/>
      <c r="D49" s="178">
        <f>F56</f>
        <v>-18</v>
      </c>
      <c r="E49" s="179">
        <v>0.4</v>
      </c>
      <c r="F49" s="180"/>
      <c r="G49" s="178">
        <f>I56</f>
        <v>-18</v>
      </c>
      <c r="H49" s="179">
        <v>0.4</v>
      </c>
      <c r="I49" s="180"/>
    </row>
    <row r="50" spans="1:15" x14ac:dyDescent="0.25">
      <c r="A50" s="175">
        <f>A49+0.2*(A54-A49)</f>
        <v>-12.399999999999999</v>
      </c>
      <c r="B50" s="176">
        <v>0.3</v>
      </c>
      <c r="C50" s="177"/>
      <c r="D50" s="178">
        <f>D49+0.2*(D54-D49)</f>
        <v>-12.399999999999999</v>
      </c>
      <c r="E50" s="179">
        <v>0.3</v>
      </c>
      <c r="F50" s="180"/>
      <c r="G50" s="178">
        <f>G49+0.2*(G54-G49)</f>
        <v>-12.399999999999999</v>
      </c>
      <c r="H50" s="179">
        <v>0.3</v>
      </c>
      <c r="I50" s="180"/>
    </row>
    <row r="51" spans="1:15" x14ac:dyDescent="0.25">
      <c r="A51" s="175">
        <f>A50+0.2*(A54-A49)</f>
        <v>-6.799999999999998</v>
      </c>
      <c r="B51" s="176">
        <v>0.26</v>
      </c>
      <c r="C51" s="177"/>
      <c r="D51" s="178">
        <f>D50+0.2*(D54-D49)</f>
        <v>-6.799999999999998</v>
      </c>
      <c r="E51" s="179">
        <v>0.26</v>
      </c>
      <c r="F51" s="180"/>
      <c r="G51" s="178">
        <f>G50+0.2*(G54-G49)</f>
        <v>-6.799999999999998</v>
      </c>
      <c r="H51" s="179">
        <v>0.26</v>
      </c>
      <c r="I51" s="180"/>
    </row>
    <row r="52" spans="1:15" x14ac:dyDescent="0.25">
      <c r="A52" s="175">
        <f>A51+0.2*(A54-A49)</f>
        <v>-1.1999999999999975</v>
      </c>
      <c r="B52" s="176">
        <v>0.24</v>
      </c>
      <c r="C52" s="177"/>
      <c r="D52" s="178">
        <f>D51+0.2*(D54-D49)</f>
        <v>-1.1999999999999975</v>
      </c>
      <c r="E52" s="179">
        <v>0.24</v>
      </c>
      <c r="F52" s="180"/>
      <c r="G52" s="178">
        <f>G51+0.2*(G54-G49)</f>
        <v>-1.1999999999999975</v>
      </c>
      <c r="H52" s="179">
        <v>0.24</v>
      </c>
      <c r="I52" s="180"/>
    </row>
    <row r="53" spans="1:15" x14ac:dyDescent="0.25">
      <c r="A53" s="175">
        <f>A52+0.2*(A54-A49)</f>
        <v>4.400000000000003</v>
      </c>
      <c r="B53" s="176">
        <v>0.23</v>
      </c>
      <c r="C53" s="177"/>
      <c r="D53" s="178">
        <f>D52+0.2*(D54-D49)</f>
        <v>4.400000000000003</v>
      </c>
      <c r="E53" s="179">
        <v>0.23</v>
      </c>
      <c r="F53" s="180"/>
      <c r="G53" s="178">
        <f>G52+0.2*(G54-G49)</f>
        <v>4.400000000000003</v>
      </c>
      <c r="H53" s="179">
        <v>0.23</v>
      </c>
      <c r="I53" s="180"/>
    </row>
    <row r="54" spans="1:15" x14ac:dyDescent="0.25">
      <c r="A54" s="175">
        <f>C57</f>
        <v>10</v>
      </c>
      <c r="B54" s="176">
        <v>0.22</v>
      </c>
      <c r="C54" s="177"/>
      <c r="D54" s="178">
        <f>F57</f>
        <v>10</v>
      </c>
      <c r="E54" s="179">
        <v>0.22</v>
      </c>
      <c r="F54" s="180"/>
      <c r="G54" s="178">
        <f>I57</f>
        <v>10</v>
      </c>
      <c r="H54" s="179">
        <v>0.22</v>
      </c>
      <c r="I54" s="180"/>
    </row>
    <row r="55" spans="1:15" x14ac:dyDescent="0.25">
      <c r="A55" s="181"/>
      <c r="B55" s="182"/>
      <c r="C55" s="183"/>
      <c r="D55" s="184"/>
      <c r="E55" s="142"/>
      <c r="F55" s="143"/>
      <c r="G55" s="184"/>
      <c r="H55" s="142"/>
      <c r="I55" s="143"/>
    </row>
    <row r="56" spans="1:15" x14ac:dyDescent="0.25">
      <c r="A56" s="185"/>
      <c r="B56" s="186" t="s">
        <v>107</v>
      </c>
      <c r="C56" s="187">
        <v>-18</v>
      </c>
      <c r="D56" s="141"/>
      <c r="E56" s="188" t="s">
        <v>107</v>
      </c>
      <c r="F56" s="189">
        <v>-18</v>
      </c>
      <c r="G56" s="141"/>
      <c r="H56" s="188" t="s">
        <v>107</v>
      </c>
      <c r="I56" s="189">
        <v>-18</v>
      </c>
    </row>
    <row r="57" spans="1:15" x14ac:dyDescent="0.25">
      <c r="A57" s="185"/>
      <c r="B57" s="186" t="s">
        <v>108</v>
      </c>
      <c r="C57" s="187">
        <v>10</v>
      </c>
      <c r="D57" s="141"/>
      <c r="E57" s="188" t="s">
        <v>108</v>
      </c>
      <c r="F57" s="189">
        <v>10</v>
      </c>
      <c r="G57" s="141"/>
      <c r="H57" s="188" t="s">
        <v>108</v>
      </c>
      <c r="I57" s="189">
        <v>10</v>
      </c>
    </row>
    <row r="58" spans="1:15" x14ac:dyDescent="0.25">
      <c r="A58" s="190"/>
      <c r="B58" s="191"/>
      <c r="C58" s="192"/>
      <c r="D58" s="144"/>
      <c r="E58" s="193"/>
      <c r="F58" s="194"/>
      <c r="G58" s="144"/>
      <c r="H58" s="193"/>
      <c r="I58" s="194"/>
    </row>
    <row r="59" spans="1:15" x14ac:dyDescent="0.25">
      <c r="A59" s="87"/>
      <c r="O59" s="86"/>
    </row>
    <row r="60" spans="1:15" x14ac:dyDescent="0.25">
      <c r="B60" s="159"/>
      <c r="C60" s="159"/>
      <c r="F60" s="156"/>
      <c r="O60" s="86"/>
    </row>
    <row r="61" spans="1:15" ht="31.5" x14ac:dyDescent="0.35">
      <c r="A61" s="83" t="s">
        <v>109</v>
      </c>
      <c r="B61" s="84"/>
      <c r="C61" s="84"/>
      <c r="D61" s="84"/>
      <c r="E61" s="84"/>
      <c r="F61" s="84"/>
      <c r="G61" s="84"/>
      <c r="H61" s="85"/>
      <c r="J61" s="88"/>
      <c r="K61" s="90" t="s">
        <v>110</v>
      </c>
      <c r="L61" s="91" t="str">
        <f>A93</f>
        <v>HP EIR f(temp)</v>
      </c>
      <c r="M61" s="89"/>
      <c r="N61" s="92"/>
      <c r="O61" s="86"/>
    </row>
    <row r="62" spans="1:15" ht="17.25" x14ac:dyDescent="0.25">
      <c r="J62" s="102" t="str">
        <f>A94</f>
        <v>Temp (X)</v>
      </c>
      <c r="K62" s="102" t="s">
        <v>88</v>
      </c>
      <c r="L62" s="102" t="s">
        <v>89</v>
      </c>
      <c r="M62" s="102" t="str">
        <f>B94</f>
        <v>Capacity (Y)</v>
      </c>
      <c r="N62" s="102" t="s">
        <v>111</v>
      </c>
      <c r="O62" s="86"/>
    </row>
    <row r="63" spans="1:15" x14ac:dyDescent="0.25">
      <c r="J63" s="195">
        <f>C102</f>
        <v>-20</v>
      </c>
      <c r="K63" s="196">
        <f t="shared" ref="K63:K68" si="6">J63^2</f>
        <v>400</v>
      </c>
      <c r="L63" s="196">
        <f t="shared" ref="L63:L68" si="7">J63^3</f>
        <v>-8000</v>
      </c>
      <c r="M63" s="197">
        <f t="shared" ref="M63:M68" si="8">N63*$C$104</f>
        <v>0</v>
      </c>
      <c r="N63" s="198">
        <f t="shared" ref="N63:N68" si="9">$B$95+J63*$B$96+K63*$B$97++L63*$B$98</f>
        <v>2.3949600000000002</v>
      </c>
      <c r="O63" s="86"/>
    </row>
    <row r="64" spans="1:15" x14ac:dyDescent="0.25">
      <c r="J64" s="199">
        <f>J63+0.2*(J68-J63)</f>
        <v>-12</v>
      </c>
      <c r="K64" s="196">
        <f t="shared" si="6"/>
        <v>144</v>
      </c>
      <c r="L64" s="196">
        <f t="shared" si="7"/>
        <v>-1728</v>
      </c>
      <c r="M64" s="197">
        <f t="shared" si="8"/>
        <v>0</v>
      </c>
      <c r="N64" s="198">
        <f t="shared" si="9"/>
        <v>1.7427091840000002</v>
      </c>
      <c r="O64" s="86"/>
    </row>
    <row r="65" spans="10:15" x14ac:dyDescent="0.25">
      <c r="J65" s="199">
        <f>J64+0.2*(J68-J63)</f>
        <v>-4</v>
      </c>
      <c r="K65" s="196">
        <f t="shared" si="6"/>
        <v>16</v>
      </c>
      <c r="L65" s="196">
        <f t="shared" si="7"/>
        <v>-64</v>
      </c>
      <c r="M65" s="197">
        <f t="shared" si="8"/>
        <v>0</v>
      </c>
      <c r="N65" s="198">
        <f t="shared" si="9"/>
        <v>1.3307473919999999</v>
      </c>
      <c r="O65" s="86"/>
    </row>
    <row r="66" spans="10:15" x14ac:dyDescent="0.25">
      <c r="J66" s="199">
        <f>J65+0.2*(J68-J63)</f>
        <v>4</v>
      </c>
      <c r="K66" s="196">
        <f t="shared" si="6"/>
        <v>16</v>
      </c>
      <c r="L66" s="196">
        <f t="shared" si="7"/>
        <v>64</v>
      </c>
      <c r="M66" s="197">
        <f t="shared" si="8"/>
        <v>0</v>
      </c>
      <c r="N66" s="198">
        <f t="shared" si="9"/>
        <v>1.0874110079999999</v>
      </c>
      <c r="O66" s="86"/>
    </row>
    <row r="67" spans="10:15" x14ac:dyDescent="0.25">
      <c r="J67" s="199">
        <f>J66+0.2*(J68-J63)</f>
        <v>12</v>
      </c>
      <c r="K67" s="196">
        <f t="shared" si="6"/>
        <v>144</v>
      </c>
      <c r="L67" s="196">
        <f t="shared" si="7"/>
        <v>1728</v>
      </c>
      <c r="M67" s="197">
        <f t="shared" si="8"/>
        <v>0</v>
      </c>
      <c r="N67" s="198">
        <f t="shared" si="9"/>
        <v>0.94103641599999999</v>
      </c>
      <c r="O67" s="86"/>
    </row>
    <row r="68" spans="10:15" x14ac:dyDescent="0.25">
      <c r="J68" s="195">
        <f>C103</f>
        <v>20</v>
      </c>
      <c r="K68" s="196">
        <f t="shared" si="6"/>
        <v>400</v>
      </c>
      <c r="L68" s="196">
        <f t="shared" si="7"/>
        <v>8000</v>
      </c>
      <c r="M68" s="197">
        <f t="shared" si="8"/>
        <v>0</v>
      </c>
      <c r="N68" s="198">
        <f t="shared" si="9"/>
        <v>0.81996000000000013</v>
      </c>
      <c r="O68" s="115"/>
    </row>
    <row r="85" spans="1:27" x14ac:dyDescent="0.25">
      <c r="Z85" s="200"/>
    </row>
    <row r="86" spans="1:27" x14ac:dyDescent="0.25">
      <c r="Z86" s="200"/>
    </row>
    <row r="87" spans="1:27" x14ac:dyDescent="0.25">
      <c r="Z87" s="201"/>
    </row>
    <row r="88" spans="1:27" x14ac:dyDescent="0.25">
      <c r="Z88" s="200"/>
    </row>
    <row r="92" spans="1:27" x14ac:dyDescent="0.25">
      <c r="A92" s="202" t="s">
        <v>101</v>
      </c>
      <c r="B92" s="203"/>
      <c r="C92" s="204"/>
      <c r="D92" s="164" t="s">
        <v>102</v>
      </c>
      <c r="E92" s="164"/>
      <c r="F92" s="164"/>
      <c r="G92" s="164" t="s">
        <v>102</v>
      </c>
      <c r="H92" s="164"/>
      <c r="I92" s="164"/>
      <c r="P92" s="164" t="s">
        <v>102</v>
      </c>
      <c r="Q92" s="164"/>
      <c r="R92" s="164"/>
      <c r="S92" s="164" t="s">
        <v>102</v>
      </c>
      <c r="T92" s="164"/>
      <c r="U92" s="164"/>
      <c r="V92" s="164" t="s">
        <v>102</v>
      </c>
      <c r="W92" s="164"/>
      <c r="X92" s="164"/>
      <c r="Y92" s="164" t="s">
        <v>102</v>
      </c>
      <c r="Z92" s="164"/>
      <c r="AA92" s="164"/>
    </row>
    <row r="93" spans="1:27" x14ac:dyDescent="0.25">
      <c r="A93" s="165" t="s">
        <v>112</v>
      </c>
      <c r="B93" s="166"/>
      <c r="C93" s="167"/>
      <c r="D93" s="168" t="s">
        <v>113</v>
      </c>
      <c r="E93" s="205"/>
      <c r="F93" s="206"/>
      <c r="G93" s="169" t="s">
        <v>114</v>
      </c>
      <c r="H93" s="169"/>
      <c r="I93" s="170"/>
      <c r="P93" s="207" t="s">
        <v>115</v>
      </c>
      <c r="Q93" s="169"/>
      <c r="R93" s="170"/>
      <c r="S93" s="168" t="s">
        <v>116</v>
      </c>
      <c r="T93" s="169"/>
      <c r="U93" s="170"/>
      <c r="V93" s="207" t="s">
        <v>117</v>
      </c>
      <c r="W93" s="169"/>
      <c r="X93" s="170"/>
      <c r="Y93" s="207" t="s">
        <v>112</v>
      </c>
      <c r="Z93" s="169"/>
      <c r="AA93" s="170"/>
    </row>
    <row r="94" spans="1:27" s="211" customFormat="1" ht="26.25" x14ac:dyDescent="0.25">
      <c r="A94" s="171" t="s">
        <v>118</v>
      </c>
      <c r="B94" s="172" t="s">
        <v>119</v>
      </c>
      <c r="C94" s="172"/>
      <c r="D94" s="173" t="s">
        <v>105</v>
      </c>
      <c r="E94" s="174" t="s">
        <v>119</v>
      </c>
      <c r="F94" s="174"/>
      <c r="G94" s="208" t="s">
        <v>120</v>
      </c>
      <c r="H94" s="209" t="s">
        <v>121</v>
      </c>
      <c r="I94" s="210"/>
      <c r="P94" s="208" t="s">
        <v>120</v>
      </c>
      <c r="Q94" s="209" t="s">
        <v>121</v>
      </c>
      <c r="R94" s="210"/>
      <c r="S94" s="173" t="s">
        <v>122</v>
      </c>
      <c r="T94" s="174" t="s">
        <v>123</v>
      </c>
      <c r="U94" s="174"/>
      <c r="V94" s="208" t="s">
        <v>118</v>
      </c>
      <c r="W94" s="209" t="s">
        <v>119</v>
      </c>
      <c r="X94" s="210"/>
      <c r="Y94" s="208" t="s">
        <v>118</v>
      </c>
      <c r="Z94" s="209" t="s">
        <v>121</v>
      </c>
      <c r="AA94" s="210"/>
    </row>
    <row r="95" spans="1:27" x14ac:dyDescent="0.25">
      <c r="A95" s="212" t="s">
        <v>124</v>
      </c>
      <c r="B95" s="213">
        <v>1.19248</v>
      </c>
      <c r="C95" s="214"/>
      <c r="D95" s="215" t="s">
        <v>124</v>
      </c>
      <c r="E95" s="216">
        <v>-0.39070892822792802</v>
      </c>
      <c r="F95" s="180"/>
      <c r="G95" s="217" t="s">
        <v>124</v>
      </c>
      <c r="H95" s="218">
        <v>1.2055</v>
      </c>
      <c r="I95" s="219"/>
      <c r="P95" s="217" t="s">
        <v>124</v>
      </c>
      <c r="Q95" s="218">
        <v>1.2055</v>
      </c>
      <c r="R95" s="219"/>
      <c r="S95" s="215" t="s">
        <v>124</v>
      </c>
      <c r="T95" s="218">
        <v>0.20367099999999999</v>
      </c>
      <c r="U95" s="180"/>
      <c r="V95" s="215" t="s">
        <v>124</v>
      </c>
      <c r="W95" s="220">
        <v>0.75874600000000003</v>
      </c>
      <c r="X95" s="219"/>
      <c r="Y95" s="215" t="s">
        <v>124</v>
      </c>
      <c r="Z95" s="220">
        <v>1.19248</v>
      </c>
      <c r="AA95" s="219"/>
    </row>
    <row r="96" spans="1:27" x14ac:dyDescent="0.25">
      <c r="A96" s="221" t="s">
        <v>125</v>
      </c>
      <c r="B96" s="222">
        <v>-3.0043799999999999E-2</v>
      </c>
      <c r="C96" s="177"/>
      <c r="D96" s="215" t="s">
        <v>125</v>
      </c>
      <c r="E96" s="216">
        <v>0.26181502376016202</v>
      </c>
      <c r="F96" s="180"/>
      <c r="G96" s="217" t="s">
        <v>125</v>
      </c>
      <c r="H96" s="218">
        <v>-0.32952999999999999</v>
      </c>
      <c r="I96" s="219"/>
      <c r="P96" s="217" t="s">
        <v>125</v>
      </c>
      <c r="Q96" s="218">
        <v>-0.32952999999999999</v>
      </c>
      <c r="R96" s="219"/>
      <c r="S96" s="215" t="s">
        <v>125</v>
      </c>
      <c r="T96" s="218">
        <v>-0.82707699999999995</v>
      </c>
      <c r="U96" s="180"/>
      <c r="V96" s="215" t="s">
        <v>125</v>
      </c>
      <c r="W96" s="220">
        <v>2.7626000000000001E-2</v>
      </c>
      <c r="X96" s="219"/>
      <c r="Y96" s="215" t="s">
        <v>125</v>
      </c>
      <c r="Z96" s="220">
        <v>-3.0043799999999999E-2</v>
      </c>
      <c r="AA96" s="219"/>
    </row>
    <row r="97" spans="1:27" x14ac:dyDescent="0.25">
      <c r="A97" s="221" t="s">
        <v>126</v>
      </c>
      <c r="B97" s="222">
        <v>1.0374500000000001E-3</v>
      </c>
      <c r="C97" s="177"/>
      <c r="D97" s="215" t="s">
        <v>126</v>
      </c>
      <c r="E97" s="216">
        <v>-1.30431603151873E-2</v>
      </c>
      <c r="F97" s="180"/>
      <c r="G97" s="217" t="s">
        <v>126</v>
      </c>
      <c r="H97" s="218">
        <v>0.12307999999999999</v>
      </c>
      <c r="I97" s="219"/>
      <c r="P97" s="217" t="s">
        <v>126</v>
      </c>
      <c r="Q97" s="218">
        <v>0.12307999999999999</v>
      </c>
      <c r="R97" s="219"/>
      <c r="S97" s="215" t="s">
        <v>126</v>
      </c>
      <c r="T97" s="218">
        <v>1.1811910000000001</v>
      </c>
      <c r="U97" s="180"/>
      <c r="V97" s="215" t="s">
        <v>126</v>
      </c>
      <c r="W97" s="220">
        <v>1.4871599999999999E-4</v>
      </c>
      <c r="X97" s="219"/>
      <c r="Y97" s="215" t="s">
        <v>126</v>
      </c>
      <c r="Z97" s="220">
        <v>1.0374500000000001E-3</v>
      </c>
      <c r="AA97" s="219"/>
    </row>
    <row r="98" spans="1:27" x14ac:dyDescent="0.25">
      <c r="A98" s="221" t="s">
        <v>127</v>
      </c>
      <c r="B98" s="222">
        <v>-2.3328000000000001E-5</v>
      </c>
      <c r="C98" s="177"/>
      <c r="D98" s="215" t="s">
        <v>127</v>
      </c>
      <c r="E98" s="216">
        <v>1.7813174599782099E-4</v>
      </c>
      <c r="F98" s="180"/>
      <c r="G98" s="217"/>
      <c r="H98" s="218"/>
      <c r="I98" s="219"/>
      <c r="P98" s="217"/>
      <c r="Q98" s="218"/>
      <c r="R98" s="219"/>
      <c r="S98" s="215" t="s">
        <v>127</v>
      </c>
      <c r="T98" s="218">
        <v>0.44205499999999998</v>
      </c>
      <c r="U98" s="180"/>
      <c r="V98" s="215" t="s">
        <v>127</v>
      </c>
      <c r="W98" s="220">
        <v>3.4991999999999999E-6</v>
      </c>
      <c r="X98" s="219"/>
      <c r="Y98" s="215" t="s">
        <v>127</v>
      </c>
      <c r="Z98" s="220">
        <v>-2.3328000000000001E-5</v>
      </c>
      <c r="AA98" s="219"/>
    </row>
    <row r="99" spans="1:27" x14ac:dyDescent="0.25">
      <c r="A99" s="221"/>
      <c r="B99" s="222"/>
      <c r="C99" s="177"/>
      <c r="D99" s="215"/>
      <c r="E99" s="216"/>
      <c r="F99" s="180"/>
      <c r="G99" s="217"/>
      <c r="H99" s="223"/>
      <c r="I99" s="224"/>
      <c r="P99" s="217"/>
      <c r="Q99" s="223"/>
      <c r="R99" s="224"/>
      <c r="S99" s="178"/>
      <c r="T99" s="223"/>
      <c r="U99" s="180"/>
      <c r="V99" s="178"/>
      <c r="W99" s="220"/>
      <c r="X99" s="224"/>
      <c r="Y99" s="178"/>
      <c r="Z99" s="220"/>
      <c r="AA99" s="224"/>
    </row>
    <row r="100" spans="1:27" x14ac:dyDescent="0.25">
      <c r="A100" s="221"/>
      <c r="B100" s="222"/>
      <c r="C100" s="177"/>
      <c r="D100" s="215"/>
      <c r="E100" s="216"/>
      <c r="F100" s="180"/>
      <c r="G100" s="217"/>
      <c r="H100" s="223"/>
      <c r="I100" s="224"/>
      <c r="P100" s="217"/>
      <c r="Q100" s="223"/>
      <c r="R100" s="224"/>
      <c r="S100" s="178"/>
      <c r="T100" s="223"/>
      <c r="U100" s="180"/>
      <c r="V100" s="217"/>
      <c r="W100" s="223"/>
      <c r="X100" s="224"/>
      <c r="Y100" s="217"/>
      <c r="Z100" s="223"/>
      <c r="AA100" s="224"/>
    </row>
    <row r="101" spans="1:27" x14ac:dyDescent="0.25">
      <c r="A101" s="181"/>
      <c r="B101" s="182"/>
      <c r="C101" s="183"/>
      <c r="D101" s="184"/>
      <c r="E101" s="142"/>
      <c r="F101" s="143"/>
      <c r="G101" s="225"/>
      <c r="H101" s="226"/>
      <c r="I101" s="224"/>
      <c r="P101" s="225"/>
      <c r="Q101" s="226"/>
      <c r="R101" s="224"/>
      <c r="S101" s="184"/>
      <c r="T101" s="226"/>
      <c r="U101" s="143"/>
      <c r="V101" s="225"/>
      <c r="W101" s="226"/>
      <c r="X101" s="224"/>
      <c r="Y101" s="225"/>
      <c r="Z101" s="226"/>
      <c r="AA101" s="224"/>
    </row>
    <row r="102" spans="1:27" x14ac:dyDescent="0.25">
      <c r="A102" s="185"/>
      <c r="B102" s="186" t="s">
        <v>128</v>
      </c>
      <c r="C102" s="227">
        <v>-20</v>
      </c>
      <c r="D102" s="141"/>
      <c r="E102" s="188" t="s">
        <v>128</v>
      </c>
      <c r="F102" s="189">
        <v>-18</v>
      </c>
      <c r="G102" s="225"/>
      <c r="H102" s="188" t="s">
        <v>128</v>
      </c>
      <c r="I102" s="228">
        <v>0.76</v>
      </c>
      <c r="P102" s="225"/>
      <c r="Q102" s="188" t="s">
        <v>128</v>
      </c>
      <c r="R102" s="228">
        <v>0.76</v>
      </c>
      <c r="S102" s="141"/>
      <c r="T102" s="188" t="s">
        <v>129</v>
      </c>
      <c r="U102" s="229">
        <v>0</v>
      </c>
      <c r="V102" s="225"/>
      <c r="W102" s="188" t="s">
        <v>128</v>
      </c>
      <c r="X102" s="230">
        <v>-20</v>
      </c>
      <c r="Y102" s="225"/>
      <c r="Z102" s="188" t="s">
        <v>128</v>
      </c>
      <c r="AA102" s="230">
        <v>-20</v>
      </c>
    </row>
    <row r="103" spans="1:27" x14ac:dyDescent="0.25">
      <c r="A103" s="185"/>
      <c r="B103" s="186" t="s">
        <v>130</v>
      </c>
      <c r="C103" s="227">
        <v>20</v>
      </c>
      <c r="D103" s="141"/>
      <c r="E103" s="188" t="s">
        <v>130</v>
      </c>
      <c r="F103" s="189">
        <v>10</v>
      </c>
      <c r="G103" s="225"/>
      <c r="H103" s="188" t="s">
        <v>130</v>
      </c>
      <c r="I103" s="228">
        <v>1.1399999999999999</v>
      </c>
      <c r="P103" s="225"/>
      <c r="Q103" s="188" t="s">
        <v>130</v>
      </c>
      <c r="R103" s="228">
        <v>1.1399999999999999</v>
      </c>
      <c r="S103" s="141"/>
      <c r="T103" s="188" t="s">
        <v>131</v>
      </c>
      <c r="U103" s="229">
        <v>1</v>
      </c>
      <c r="V103" s="225"/>
      <c r="W103" s="188" t="s">
        <v>130</v>
      </c>
      <c r="X103" s="230">
        <v>20</v>
      </c>
      <c r="Y103" s="225"/>
      <c r="Z103" s="188" t="s">
        <v>130</v>
      </c>
      <c r="AA103" s="230">
        <v>20</v>
      </c>
    </row>
    <row r="104" spans="1:27" x14ac:dyDescent="0.25">
      <c r="A104" s="190"/>
      <c r="B104" s="191"/>
      <c r="C104" s="231"/>
      <c r="D104" s="144"/>
      <c r="E104" s="193" t="s">
        <v>132</v>
      </c>
      <c r="F104" s="232">
        <v>12</v>
      </c>
      <c r="G104" s="233"/>
      <c r="H104" s="193" t="s">
        <v>133</v>
      </c>
      <c r="I104" s="234">
        <v>0.25</v>
      </c>
      <c r="P104" s="233"/>
      <c r="Q104" s="193" t="s">
        <v>133</v>
      </c>
      <c r="R104" s="234">
        <v>0.25</v>
      </c>
      <c r="S104" s="144"/>
      <c r="T104" s="193" t="s">
        <v>134</v>
      </c>
      <c r="U104" s="232">
        <v>100</v>
      </c>
      <c r="V104" s="233"/>
      <c r="W104" s="193"/>
      <c r="X104" s="234"/>
      <c r="Y104" s="233"/>
      <c r="Z104" s="193"/>
      <c r="AA104" s="234"/>
    </row>
    <row r="105" spans="1:27" x14ac:dyDescent="0.25">
      <c r="A105" s="87"/>
      <c r="O105" s="86"/>
    </row>
    <row r="106" spans="1:27" x14ac:dyDescent="0.25">
      <c r="B106" s="159"/>
      <c r="C106" s="159"/>
      <c r="D106" s="164" t="s">
        <v>102</v>
      </c>
      <c r="E106" s="164"/>
      <c r="F106" s="164"/>
      <c r="G106" s="164" t="s">
        <v>102</v>
      </c>
      <c r="H106" s="164"/>
      <c r="I106" s="164"/>
      <c r="J106" s="164" t="s">
        <v>102</v>
      </c>
      <c r="K106" s="164"/>
      <c r="L106" s="164"/>
      <c r="M106" s="164" t="s">
        <v>102</v>
      </c>
      <c r="N106" s="164"/>
      <c r="O106" s="164"/>
      <c r="P106" s="164" t="s">
        <v>102</v>
      </c>
      <c r="Q106" s="164"/>
      <c r="R106" s="164"/>
    </row>
    <row r="107" spans="1:27" x14ac:dyDescent="0.25">
      <c r="B107" s="159"/>
      <c r="C107" s="159"/>
      <c r="D107" s="168" t="s">
        <v>135</v>
      </c>
      <c r="E107" s="205"/>
      <c r="F107" s="206"/>
      <c r="G107" s="207" t="s">
        <v>136</v>
      </c>
      <c r="H107" s="169"/>
      <c r="I107" s="170"/>
      <c r="J107" s="168" t="s">
        <v>137</v>
      </c>
      <c r="K107" s="205"/>
      <c r="L107" s="206"/>
      <c r="M107" s="168" t="s">
        <v>138</v>
      </c>
      <c r="N107" s="205"/>
      <c r="O107" s="206"/>
      <c r="P107" s="207" t="s">
        <v>139</v>
      </c>
      <c r="Q107" s="169"/>
      <c r="R107" s="170"/>
    </row>
    <row r="108" spans="1:27" ht="30" x14ac:dyDescent="0.25">
      <c r="B108" s="159"/>
      <c r="C108" s="159"/>
      <c r="D108" s="208" t="s">
        <v>120</v>
      </c>
      <c r="E108" s="174" t="s">
        <v>140</v>
      </c>
      <c r="F108" s="174"/>
      <c r="G108" s="208" t="s">
        <v>120</v>
      </c>
      <c r="H108" s="235" t="s">
        <v>121</v>
      </c>
      <c r="I108" s="210"/>
      <c r="J108" s="173" t="s">
        <v>141</v>
      </c>
      <c r="K108" s="174" t="s">
        <v>121</v>
      </c>
      <c r="L108" s="174"/>
      <c r="M108" s="173" t="s">
        <v>141</v>
      </c>
      <c r="N108" s="174" t="s">
        <v>121</v>
      </c>
      <c r="O108" s="174"/>
      <c r="P108" s="208" t="s">
        <v>120</v>
      </c>
      <c r="Q108" s="235" t="s">
        <v>121</v>
      </c>
      <c r="R108" s="210"/>
    </row>
    <row r="109" spans="1:27" x14ac:dyDescent="0.25">
      <c r="B109" s="159"/>
      <c r="C109" s="159"/>
      <c r="D109" s="236" t="s">
        <v>124</v>
      </c>
      <c r="E109" s="237">
        <v>0.8</v>
      </c>
      <c r="F109" s="238"/>
      <c r="G109" s="217" t="s">
        <v>124</v>
      </c>
      <c r="H109" s="218">
        <v>0.77136000000000005</v>
      </c>
      <c r="I109" s="219"/>
      <c r="J109" s="215" t="s">
        <v>124</v>
      </c>
      <c r="K109" s="216">
        <v>0.46281230000000001</v>
      </c>
      <c r="L109" s="180"/>
      <c r="M109" s="215" t="s">
        <v>124</v>
      </c>
      <c r="N109" s="216">
        <v>0.1400093</v>
      </c>
      <c r="O109" s="180"/>
      <c r="P109" s="217" t="s">
        <v>124</v>
      </c>
      <c r="Q109" s="218">
        <v>0.77136000000000005</v>
      </c>
      <c r="R109" s="219"/>
    </row>
    <row r="110" spans="1:27" x14ac:dyDescent="0.25">
      <c r="B110" s="159"/>
      <c r="C110" s="159"/>
      <c r="D110" s="217" t="s">
        <v>125</v>
      </c>
      <c r="E110" s="216">
        <v>0.2</v>
      </c>
      <c r="F110" s="180"/>
      <c r="G110" s="217" t="s">
        <v>125</v>
      </c>
      <c r="H110" s="218">
        <v>0.34053</v>
      </c>
      <c r="I110" s="219"/>
      <c r="J110" s="215" t="s">
        <v>125</v>
      </c>
      <c r="K110" s="216">
        <v>-1.0402406</v>
      </c>
      <c r="L110" s="180"/>
      <c r="M110" s="215" t="s">
        <v>125</v>
      </c>
      <c r="N110" s="216">
        <v>0.64150019999999996</v>
      </c>
      <c r="O110" s="180"/>
      <c r="P110" s="217" t="s">
        <v>125</v>
      </c>
      <c r="Q110" s="218">
        <v>0.34053</v>
      </c>
      <c r="R110" s="219"/>
    </row>
    <row r="111" spans="1:27" x14ac:dyDescent="0.25">
      <c r="B111" s="159"/>
      <c r="C111" s="159"/>
      <c r="D111" s="217" t="s">
        <v>126</v>
      </c>
      <c r="E111" s="216">
        <v>0</v>
      </c>
      <c r="F111" s="180"/>
      <c r="G111" s="217" t="s">
        <v>126</v>
      </c>
      <c r="H111" s="218">
        <v>-0.11088000000000001</v>
      </c>
      <c r="I111" s="219"/>
      <c r="J111" s="215" t="s">
        <v>126</v>
      </c>
      <c r="K111" s="216">
        <v>2.1749100000000001</v>
      </c>
      <c r="L111" s="180"/>
      <c r="M111" s="215" t="s">
        <v>126</v>
      </c>
      <c r="N111" s="216">
        <v>0.13390469999999999</v>
      </c>
      <c r="O111" s="180"/>
      <c r="P111" s="217" t="s">
        <v>126</v>
      </c>
      <c r="Q111" s="218">
        <v>-0.11088000000000001</v>
      </c>
      <c r="R111" s="219"/>
    </row>
    <row r="112" spans="1:27" x14ac:dyDescent="0.25">
      <c r="B112" s="159"/>
      <c r="C112" s="159"/>
      <c r="D112" s="215"/>
      <c r="E112" s="216"/>
      <c r="F112" s="180"/>
      <c r="G112" s="217"/>
      <c r="H112" s="218"/>
      <c r="I112" s="219"/>
      <c r="J112" s="215" t="s">
        <v>127</v>
      </c>
      <c r="K112" s="216">
        <v>-0.5974817</v>
      </c>
      <c r="L112" s="180"/>
      <c r="M112" s="215" t="s">
        <v>127</v>
      </c>
      <c r="N112" s="216">
        <v>8.4585900000000006E-2</v>
      </c>
      <c r="O112" s="180"/>
      <c r="P112" s="217"/>
      <c r="Q112" s="218"/>
      <c r="R112" s="219"/>
    </row>
    <row r="113" spans="2:18" x14ac:dyDescent="0.25">
      <c r="B113" s="159"/>
      <c r="C113" s="159"/>
      <c r="D113" s="215"/>
      <c r="E113" s="216"/>
      <c r="F113" s="180"/>
      <c r="G113" s="217"/>
      <c r="H113" s="223"/>
      <c r="I113" s="224"/>
      <c r="J113" s="215"/>
      <c r="K113" s="216"/>
      <c r="L113" s="180"/>
      <c r="M113" s="215"/>
      <c r="N113" s="216"/>
      <c r="O113" s="180"/>
      <c r="P113" s="217"/>
      <c r="Q113" s="223"/>
      <c r="R113" s="224"/>
    </row>
    <row r="114" spans="2:18" x14ac:dyDescent="0.25">
      <c r="B114" s="159"/>
      <c r="C114" s="159"/>
      <c r="D114" s="215"/>
      <c r="E114" s="216"/>
      <c r="F114" s="180"/>
      <c r="G114" s="217"/>
      <c r="H114" s="223"/>
      <c r="I114" s="224"/>
      <c r="J114" s="215"/>
      <c r="K114" s="216"/>
      <c r="L114" s="180"/>
      <c r="M114" s="215"/>
      <c r="N114" s="216"/>
      <c r="O114" s="180"/>
      <c r="P114" s="217"/>
      <c r="Q114" s="223"/>
      <c r="R114" s="224"/>
    </row>
    <row r="115" spans="2:18" x14ac:dyDescent="0.25">
      <c r="B115" s="159"/>
      <c r="C115" s="159"/>
      <c r="D115" s="184"/>
      <c r="E115" s="142"/>
      <c r="F115" s="143"/>
      <c r="G115" s="225"/>
      <c r="H115" s="226"/>
      <c r="I115" s="224"/>
      <c r="J115" s="184"/>
      <c r="K115" s="142"/>
      <c r="L115" s="143"/>
      <c r="M115" s="184"/>
      <c r="N115" s="142"/>
      <c r="O115" s="143"/>
      <c r="P115" s="225"/>
      <c r="Q115" s="226"/>
      <c r="R115" s="224"/>
    </row>
    <row r="116" spans="2:18" x14ac:dyDescent="0.25">
      <c r="B116" s="159"/>
      <c r="C116" s="159"/>
      <c r="D116" s="141"/>
      <c r="E116" s="188" t="s">
        <v>128</v>
      </c>
      <c r="F116" s="229">
        <v>0.5</v>
      </c>
      <c r="G116" s="225"/>
      <c r="H116" s="188" t="s">
        <v>128</v>
      </c>
      <c r="I116" s="228">
        <v>0.76</v>
      </c>
      <c r="J116" s="141"/>
      <c r="K116" s="188" t="s">
        <v>128</v>
      </c>
      <c r="L116" s="189">
        <v>0</v>
      </c>
      <c r="M116" s="141"/>
      <c r="N116" s="188" t="s">
        <v>128</v>
      </c>
      <c r="O116" s="189">
        <v>0</v>
      </c>
      <c r="P116" s="225"/>
      <c r="Q116" s="188" t="s">
        <v>128</v>
      </c>
      <c r="R116" s="228">
        <v>0.76</v>
      </c>
    </row>
    <row r="117" spans="2:18" x14ac:dyDescent="0.25">
      <c r="B117" s="159"/>
      <c r="C117" s="159"/>
      <c r="D117" s="141"/>
      <c r="E117" s="188" t="s">
        <v>130</v>
      </c>
      <c r="F117" s="229">
        <v>1.5</v>
      </c>
      <c r="G117" s="225"/>
      <c r="H117" s="188" t="s">
        <v>130</v>
      </c>
      <c r="I117" s="228">
        <v>1.1399999999999999</v>
      </c>
      <c r="J117" s="141"/>
      <c r="K117" s="188" t="s">
        <v>130</v>
      </c>
      <c r="L117" s="189">
        <v>1</v>
      </c>
      <c r="M117" s="141"/>
      <c r="N117" s="188" t="s">
        <v>130</v>
      </c>
      <c r="O117" s="189">
        <v>1</v>
      </c>
      <c r="P117" s="225"/>
      <c r="Q117" s="188" t="s">
        <v>130</v>
      </c>
      <c r="R117" s="228">
        <v>1.1399999999999999</v>
      </c>
    </row>
    <row r="118" spans="2:18" x14ac:dyDescent="0.25">
      <c r="B118" s="159"/>
      <c r="C118" s="159"/>
      <c r="D118" s="144"/>
      <c r="E118" s="193" t="s">
        <v>142</v>
      </c>
      <c r="F118" s="239">
        <v>12</v>
      </c>
      <c r="G118" s="233"/>
      <c r="H118" s="193" t="s">
        <v>143</v>
      </c>
      <c r="I118" s="240">
        <v>12</v>
      </c>
      <c r="J118" s="144"/>
      <c r="K118" s="193" t="s">
        <v>144</v>
      </c>
      <c r="L118" s="194">
        <v>0.2</v>
      </c>
      <c r="M118" s="144"/>
      <c r="N118" s="193" t="s">
        <v>145</v>
      </c>
      <c r="O118" s="194">
        <v>0.3</v>
      </c>
      <c r="P118" s="233"/>
      <c r="Q118" s="193" t="s">
        <v>143</v>
      </c>
      <c r="R118" s="240">
        <v>12</v>
      </c>
    </row>
    <row r="119" spans="2:18" x14ac:dyDescent="0.25">
      <c r="B119" s="159"/>
      <c r="C119" s="159"/>
      <c r="J119" s="241" t="s">
        <v>146</v>
      </c>
      <c r="M119" s="241" t="s">
        <v>146</v>
      </c>
      <c r="O119" s="86"/>
    </row>
    <row r="120" spans="2:18" x14ac:dyDescent="0.25">
      <c r="B120" s="159"/>
      <c r="C120" s="159"/>
      <c r="G120" s="164" t="s">
        <v>102</v>
      </c>
      <c r="H120" s="164"/>
      <c r="I120" s="164"/>
      <c r="J120" s="164" t="s">
        <v>102</v>
      </c>
      <c r="K120" s="164"/>
      <c r="L120" s="164"/>
      <c r="M120" s="164" t="s">
        <v>102</v>
      </c>
      <c r="N120" s="164"/>
      <c r="O120" s="164"/>
      <c r="P120" s="164" t="s">
        <v>102</v>
      </c>
      <c r="Q120" s="164"/>
      <c r="R120" s="164"/>
    </row>
    <row r="121" spans="2:18" x14ac:dyDescent="0.25">
      <c r="B121" s="159"/>
      <c r="C121" s="159"/>
      <c r="G121" s="207" t="s">
        <v>147</v>
      </c>
      <c r="H121" s="169"/>
      <c r="I121" s="170"/>
      <c r="J121" s="168" t="s">
        <v>148</v>
      </c>
      <c r="K121" s="205"/>
      <c r="L121" s="206"/>
      <c r="M121" s="168" t="s">
        <v>149</v>
      </c>
      <c r="N121" s="205"/>
      <c r="O121" s="206"/>
      <c r="P121" s="207" t="s">
        <v>150</v>
      </c>
      <c r="Q121" s="169"/>
      <c r="R121" s="170"/>
    </row>
    <row r="122" spans="2:18" x14ac:dyDescent="0.25">
      <c r="B122" s="159"/>
      <c r="C122" s="159"/>
      <c r="G122" s="242" t="s">
        <v>151</v>
      </c>
      <c r="H122" s="235" t="s">
        <v>152</v>
      </c>
      <c r="I122" s="210"/>
      <c r="J122" s="173" t="s">
        <v>141</v>
      </c>
      <c r="K122" s="174" t="s">
        <v>121</v>
      </c>
      <c r="L122" s="174"/>
      <c r="M122" s="173" t="s">
        <v>141</v>
      </c>
      <c r="N122" s="174" t="s">
        <v>121</v>
      </c>
      <c r="O122" s="174"/>
      <c r="P122" s="242" t="s">
        <v>151</v>
      </c>
      <c r="Q122" s="235" t="s">
        <v>152</v>
      </c>
      <c r="R122" s="210"/>
    </row>
    <row r="123" spans="2:18" x14ac:dyDescent="0.25">
      <c r="B123" s="159"/>
      <c r="C123" s="159"/>
      <c r="G123" s="217" t="s">
        <v>124</v>
      </c>
      <c r="H123" s="218">
        <v>0.77100000000000002</v>
      </c>
      <c r="I123" s="219"/>
      <c r="J123" s="217" t="s">
        <v>124</v>
      </c>
      <c r="K123" s="216">
        <v>1</v>
      </c>
      <c r="L123" s="180"/>
      <c r="M123" s="217" t="s">
        <v>124</v>
      </c>
      <c r="N123" s="216">
        <v>2.4294354999999999</v>
      </c>
      <c r="O123" s="180"/>
      <c r="P123" s="217" t="s">
        <v>124</v>
      </c>
      <c r="Q123" s="218">
        <v>0.77100000000000002</v>
      </c>
      <c r="R123" s="219"/>
    </row>
    <row r="124" spans="2:18" x14ac:dyDescent="0.25">
      <c r="B124" s="159"/>
      <c r="C124" s="159"/>
      <c r="G124" s="217" t="s">
        <v>125</v>
      </c>
      <c r="H124" s="218">
        <v>0.22900000000000001</v>
      </c>
      <c r="I124" s="219"/>
      <c r="J124" s="217" t="s">
        <v>125</v>
      </c>
      <c r="K124" s="216">
        <v>0</v>
      </c>
      <c r="L124" s="180"/>
      <c r="M124" s="217" t="s">
        <v>125</v>
      </c>
      <c r="N124" s="216">
        <v>-2.235887</v>
      </c>
      <c r="O124" s="180"/>
      <c r="P124" s="217" t="s">
        <v>125</v>
      </c>
      <c r="Q124" s="218">
        <v>0.22900000000000001</v>
      </c>
      <c r="R124" s="219"/>
    </row>
    <row r="125" spans="2:18" x14ac:dyDescent="0.25">
      <c r="B125" s="159"/>
      <c r="C125" s="159"/>
      <c r="G125" s="217" t="s">
        <v>126</v>
      </c>
      <c r="H125" s="218">
        <v>0</v>
      </c>
      <c r="I125" s="219"/>
      <c r="J125" s="217" t="s">
        <v>126</v>
      </c>
      <c r="K125" s="216">
        <v>0</v>
      </c>
      <c r="L125" s="180"/>
      <c r="M125" s="217" t="s">
        <v>126</v>
      </c>
      <c r="N125" s="216">
        <v>0.80645160000000005</v>
      </c>
      <c r="O125" s="180"/>
      <c r="P125" s="217" t="s">
        <v>126</v>
      </c>
      <c r="Q125" s="218">
        <v>0</v>
      </c>
      <c r="R125" s="219"/>
    </row>
    <row r="126" spans="2:18" x14ac:dyDescent="0.25">
      <c r="B126" s="159"/>
      <c r="C126" s="159"/>
      <c r="G126" s="217"/>
      <c r="H126" s="218"/>
      <c r="I126" s="219"/>
      <c r="J126" s="215"/>
      <c r="K126" s="216"/>
      <c r="L126" s="180"/>
      <c r="M126" s="215"/>
      <c r="N126" s="216"/>
      <c r="O126" s="180"/>
      <c r="P126" s="217"/>
      <c r="Q126" s="218"/>
      <c r="R126" s="219"/>
    </row>
    <row r="127" spans="2:18" x14ac:dyDescent="0.25">
      <c r="B127" s="159"/>
      <c r="C127" s="159"/>
      <c r="G127" s="217"/>
      <c r="H127" s="223"/>
      <c r="I127" s="224"/>
      <c r="J127" s="215"/>
      <c r="K127" s="216"/>
      <c r="L127" s="180"/>
      <c r="M127" s="215"/>
      <c r="N127" s="216"/>
      <c r="O127" s="180"/>
      <c r="P127" s="217"/>
      <c r="Q127" s="223"/>
      <c r="R127" s="224"/>
    </row>
    <row r="128" spans="2:18" x14ac:dyDescent="0.25">
      <c r="B128" s="159"/>
      <c r="C128" s="159"/>
      <c r="G128" s="217"/>
      <c r="H128" s="223"/>
      <c r="I128" s="224"/>
      <c r="J128" s="215"/>
      <c r="K128" s="216"/>
      <c r="L128" s="180"/>
      <c r="M128" s="215"/>
      <c r="N128" s="216"/>
      <c r="O128" s="180"/>
      <c r="P128" s="217"/>
      <c r="Q128" s="223"/>
      <c r="R128" s="224"/>
    </row>
    <row r="129" spans="2:18" x14ac:dyDescent="0.25">
      <c r="B129" s="159"/>
      <c r="C129" s="159"/>
      <c r="G129" s="225"/>
      <c r="H129" s="226"/>
      <c r="I129" s="224"/>
      <c r="J129" s="184"/>
      <c r="K129" s="142"/>
      <c r="L129" s="143"/>
      <c r="M129" s="184"/>
      <c r="N129" s="142"/>
      <c r="O129" s="143"/>
      <c r="P129" s="225"/>
      <c r="Q129" s="226"/>
      <c r="R129" s="224"/>
    </row>
    <row r="130" spans="2:18" x14ac:dyDescent="0.25">
      <c r="B130" s="159"/>
      <c r="C130" s="159"/>
      <c r="G130" s="225"/>
      <c r="H130" s="188" t="s">
        <v>128</v>
      </c>
      <c r="I130" s="228">
        <v>0</v>
      </c>
      <c r="J130" s="141"/>
      <c r="K130" s="188" t="s">
        <v>128</v>
      </c>
      <c r="L130" s="189">
        <v>0</v>
      </c>
      <c r="M130" s="141"/>
      <c r="N130" s="188" t="s">
        <v>128</v>
      </c>
      <c r="O130" s="243">
        <v>1</v>
      </c>
      <c r="P130" s="225"/>
      <c r="Q130" s="188" t="s">
        <v>128</v>
      </c>
      <c r="R130" s="228">
        <v>0</v>
      </c>
    </row>
    <row r="131" spans="2:18" x14ac:dyDescent="0.25">
      <c r="B131" s="159"/>
      <c r="C131" s="159"/>
      <c r="G131" s="225"/>
      <c r="H131" s="188" t="s">
        <v>130</v>
      </c>
      <c r="I131" s="228">
        <v>1</v>
      </c>
      <c r="J131" s="141"/>
      <c r="K131" s="188" t="s">
        <v>130</v>
      </c>
      <c r="L131" s="189">
        <v>1</v>
      </c>
      <c r="M131" s="141"/>
      <c r="N131" s="188" t="s">
        <v>130</v>
      </c>
      <c r="O131" s="243">
        <v>1.5</v>
      </c>
      <c r="P131" s="225"/>
      <c r="Q131" s="188" t="s">
        <v>130</v>
      </c>
      <c r="R131" s="228">
        <v>1</v>
      </c>
    </row>
    <row r="132" spans="2:18" x14ac:dyDescent="0.25">
      <c r="B132" s="159"/>
      <c r="C132" s="159"/>
      <c r="G132" s="233"/>
      <c r="H132" s="193" t="s">
        <v>153</v>
      </c>
      <c r="I132" s="234"/>
      <c r="J132" s="144"/>
      <c r="K132" s="193" t="str">
        <f>K118</f>
        <v>Nominal Cooling EIR</v>
      </c>
      <c r="L132" s="194">
        <f>L118</f>
        <v>0.2</v>
      </c>
      <c r="M132" s="144"/>
      <c r="N132" s="193" t="str">
        <f>N118</f>
        <v>Nominal Heating EIR</v>
      </c>
      <c r="O132" s="194">
        <f>O118</f>
        <v>0.3</v>
      </c>
      <c r="P132" s="233"/>
      <c r="Q132" s="193" t="s">
        <v>153</v>
      </c>
      <c r="R132" s="234"/>
    </row>
    <row r="133" spans="2:18" x14ac:dyDescent="0.25">
      <c r="B133" s="159"/>
      <c r="C133" s="159"/>
      <c r="O133" s="86"/>
    </row>
    <row r="134" spans="2:18" x14ac:dyDescent="0.25">
      <c r="B134" s="159"/>
      <c r="C134" s="159"/>
      <c r="J134" s="164" t="s">
        <v>102</v>
      </c>
      <c r="K134" s="164"/>
      <c r="L134" s="164"/>
      <c r="M134" s="164" t="s">
        <v>102</v>
      </c>
      <c r="N134" s="164"/>
      <c r="O134" s="164"/>
    </row>
    <row r="135" spans="2:18" x14ac:dyDescent="0.25">
      <c r="B135" s="159"/>
      <c r="C135" s="159"/>
      <c r="J135" s="168" t="s">
        <v>154</v>
      </c>
      <c r="K135" s="205"/>
      <c r="L135" s="206"/>
      <c r="M135" s="168" t="s">
        <v>155</v>
      </c>
      <c r="N135" s="205"/>
      <c r="O135" s="206"/>
    </row>
    <row r="136" spans="2:18" x14ac:dyDescent="0.25">
      <c r="B136" s="159"/>
      <c r="C136" s="159"/>
      <c r="J136" s="173" t="s">
        <v>156</v>
      </c>
      <c r="K136" s="174" t="s">
        <v>157</v>
      </c>
      <c r="L136" s="174"/>
      <c r="M136" s="173" t="s">
        <v>156</v>
      </c>
      <c r="N136" s="174" t="s">
        <v>157</v>
      </c>
      <c r="O136" s="174"/>
    </row>
    <row r="137" spans="2:18" x14ac:dyDescent="0.25">
      <c r="B137" s="159"/>
      <c r="C137" s="159"/>
      <c r="J137" s="217" t="s">
        <v>124</v>
      </c>
      <c r="K137" s="216">
        <v>0.85</v>
      </c>
      <c r="L137" s="180"/>
      <c r="M137" s="217" t="s">
        <v>124</v>
      </c>
      <c r="N137" s="216">
        <v>0.85</v>
      </c>
      <c r="O137" s="180"/>
    </row>
    <row r="138" spans="2:18" x14ac:dyDescent="0.25">
      <c r="B138" s="159"/>
      <c r="C138" s="159"/>
      <c r="J138" s="217" t="s">
        <v>125</v>
      </c>
      <c r="K138" s="216">
        <v>0.15</v>
      </c>
      <c r="L138" s="180"/>
      <c r="M138" s="217" t="s">
        <v>125</v>
      </c>
      <c r="N138" s="216">
        <v>0.15</v>
      </c>
      <c r="O138" s="180"/>
    </row>
    <row r="139" spans="2:18" x14ac:dyDescent="0.25">
      <c r="B139" s="159"/>
      <c r="C139" s="159"/>
      <c r="J139" s="217" t="s">
        <v>126</v>
      </c>
      <c r="K139" s="216">
        <v>0</v>
      </c>
      <c r="L139" s="180"/>
      <c r="M139" s="217" t="s">
        <v>126</v>
      </c>
      <c r="N139" s="216">
        <v>0</v>
      </c>
      <c r="O139" s="180"/>
    </row>
    <row r="140" spans="2:18" x14ac:dyDescent="0.25">
      <c r="B140" s="159"/>
      <c r="C140" s="159"/>
      <c r="J140" s="215"/>
      <c r="K140" s="216"/>
      <c r="L140" s="180"/>
      <c r="M140" s="215"/>
      <c r="N140" s="216"/>
      <c r="O140" s="180"/>
    </row>
    <row r="141" spans="2:18" x14ac:dyDescent="0.25">
      <c r="B141" s="159"/>
      <c r="C141" s="159"/>
      <c r="J141" s="215"/>
      <c r="K141" s="216"/>
      <c r="L141" s="180"/>
      <c r="M141" s="215"/>
      <c r="N141" s="216"/>
      <c r="O141" s="180"/>
    </row>
    <row r="142" spans="2:18" x14ac:dyDescent="0.25">
      <c r="B142" s="159"/>
      <c r="C142" s="159"/>
      <c r="J142" s="215"/>
      <c r="K142" s="216"/>
      <c r="L142" s="180"/>
      <c r="M142" s="215"/>
      <c r="N142" s="216"/>
      <c r="O142" s="180"/>
    </row>
    <row r="143" spans="2:18" x14ac:dyDescent="0.25">
      <c r="B143" s="159"/>
      <c r="C143" s="159"/>
      <c r="J143" s="184"/>
      <c r="K143" s="142"/>
      <c r="L143" s="143"/>
      <c r="M143" s="184"/>
      <c r="N143" s="142"/>
      <c r="O143" s="143"/>
    </row>
    <row r="144" spans="2:18" x14ac:dyDescent="0.25">
      <c r="B144" s="159"/>
      <c r="C144" s="159"/>
      <c r="J144" s="141"/>
      <c r="K144" s="188" t="s">
        <v>128</v>
      </c>
      <c r="L144" s="189">
        <v>0</v>
      </c>
      <c r="M144" s="141"/>
      <c r="N144" s="188" t="s">
        <v>128</v>
      </c>
      <c r="O144" s="189">
        <v>0</v>
      </c>
    </row>
    <row r="145" spans="2:15" x14ac:dyDescent="0.25">
      <c r="B145" s="159"/>
      <c r="C145" s="159"/>
      <c r="J145" s="141"/>
      <c r="K145" s="188" t="s">
        <v>130</v>
      </c>
      <c r="L145" s="189">
        <v>1</v>
      </c>
      <c r="M145" s="141"/>
      <c r="N145" s="188" t="s">
        <v>130</v>
      </c>
      <c r="O145" s="189">
        <v>1</v>
      </c>
    </row>
    <row r="146" spans="2:15" x14ac:dyDescent="0.25">
      <c r="B146" s="159"/>
      <c r="C146" s="159"/>
      <c r="J146" s="144"/>
      <c r="K146" s="193" t="s">
        <v>153</v>
      </c>
      <c r="L146" s="194" t="s">
        <v>158</v>
      </c>
      <c r="M146" s="144"/>
      <c r="N146" s="193" t="s">
        <v>153</v>
      </c>
      <c r="O146" s="194" t="s">
        <v>158</v>
      </c>
    </row>
    <row r="147" spans="2:15" x14ac:dyDescent="0.25">
      <c r="B147" s="159"/>
      <c r="C147" s="159"/>
      <c r="F147" s="156"/>
    </row>
    <row r="148" spans="2:15" x14ac:dyDescent="0.25">
      <c r="B148" s="159"/>
      <c r="C148" s="159"/>
      <c r="F148" s="156"/>
      <c r="J148" s="164" t="s">
        <v>102</v>
      </c>
      <c r="K148" s="164"/>
      <c r="L148" s="164"/>
      <c r="M148" s="164" t="s">
        <v>102</v>
      </c>
      <c r="N148" s="164"/>
      <c r="O148" s="164"/>
    </row>
    <row r="149" spans="2:15" x14ac:dyDescent="0.25">
      <c r="B149" s="159"/>
      <c r="C149" s="159"/>
      <c r="F149" s="156"/>
      <c r="J149" s="168" t="s">
        <v>159</v>
      </c>
      <c r="K149" s="205"/>
      <c r="L149" s="206"/>
      <c r="M149" s="168" t="s">
        <v>160</v>
      </c>
      <c r="N149" s="205"/>
      <c r="O149" s="206"/>
    </row>
    <row r="150" spans="2:15" ht="30" x14ac:dyDescent="0.25">
      <c r="B150" s="159"/>
      <c r="C150" s="159"/>
      <c r="F150" s="156"/>
      <c r="J150" s="173" t="s">
        <v>161</v>
      </c>
      <c r="K150" s="174" t="s">
        <v>162</v>
      </c>
      <c r="L150" s="174"/>
      <c r="M150" s="173" t="s">
        <v>161</v>
      </c>
      <c r="N150" s="174" t="s">
        <v>162</v>
      </c>
      <c r="O150" s="174"/>
    </row>
    <row r="151" spans="2:15" x14ac:dyDescent="0.25">
      <c r="B151" s="159"/>
      <c r="C151" s="159"/>
      <c r="F151" s="156"/>
      <c r="J151" s="217" t="s">
        <v>124</v>
      </c>
      <c r="K151" s="216">
        <v>0.61805500000000002</v>
      </c>
      <c r="L151" s="180"/>
      <c r="M151" s="217" t="s">
        <v>124</v>
      </c>
      <c r="N151" s="216">
        <v>0.96033999999999997</v>
      </c>
      <c r="O151" s="180"/>
    </row>
    <row r="152" spans="2:15" x14ac:dyDescent="0.25">
      <c r="B152" s="159"/>
      <c r="C152" s="159"/>
      <c r="F152" s="156"/>
      <c r="J152" s="217" t="s">
        <v>125</v>
      </c>
      <c r="K152" s="216">
        <v>0.38194499999999998</v>
      </c>
      <c r="L152" s="180"/>
      <c r="M152" s="217" t="s">
        <v>125</v>
      </c>
      <c r="N152" s="216">
        <v>3.9660000000000001E-2</v>
      </c>
      <c r="O152" s="180"/>
    </row>
    <row r="153" spans="2:15" x14ac:dyDescent="0.25">
      <c r="B153" s="159"/>
      <c r="C153" s="159"/>
      <c r="F153" s="156"/>
      <c r="J153" s="217"/>
      <c r="K153" s="216"/>
      <c r="L153" s="180"/>
      <c r="M153" s="217"/>
      <c r="N153" s="216"/>
      <c r="O153" s="180"/>
    </row>
    <row r="154" spans="2:15" x14ac:dyDescent="0.25">
      <c r="B154" s="159"/>
      <c r="C154" s="159"/>
      <c r="F154" s="156"/>
      <c r="J154" s="215"/>
      <c r="K154" s="216"/>
      <c r="L154" s="180"/>
      <c r="M154" s="215"/>
      <c r="N154" s="216"/>
      <c r="O154" s="180"/>
    </row>
    <row r="155" spans="2:15" x14ac:dyDescent="0.25">
      <c r="B155" s="159"/>
      <c r="C155" s="159"/>
      <c r="F155" s="156"/>
      <c r="J155" s="215"/>
      <c r="K155" s="216"/>
      <c r="L155" s="180"/>
      <c r="M155" s="215"/>
      <c r="N155" s="216"/>
      <c r="O155" s="180"/>
    </row>
    <row r="156" spans="2:15" x14ac:dyDescent="0.25">
      <c r="B156" s="159"/>
      <c r="C156" s="159"/>
      <c r="F156" s="156"/>
      <c r="J156" s="215"/>
      <c r="K156" s="216"/>
      <c r="L156" s="180"/>
      <c r="M156" s="215"/>
      <c r="N156" s="216"/>
      <c r="O156" s="180"/>
    </row>
    <row r="157" spans="2:15" x14ac:dyDescent="0.25">
      <c r="B157" s="159"/>
      <c r="C157" s="159"/>
      <c r="F157" s="156"/>
      <c r="J157" s="184"/>
      <c r="K157" s="142"/>
      <c r="L157" s="143"/>
      <c r="M157" s="184"/>
      <c r="N157" s="142"/>
      <c r="O157" s="143"/>
    </row>
    <row r="158" spans="2:15" x14ac:dyDescent="0.25">
      <c r="B158" s="159"/>
      <c r="C158" s="159"/>
      <c r="F158" s="156"/>
      <c r="J158" s="141"/>
      <c r="K158" s="188" t="s">
        <v>128</v>
      </c>
      <c r="L158" s="229">
        <v>0.4</v>
      </c>
      <c r="M158" s="141"/>
      <c r="N158" s="188" t="s">
        <v>128</v>
      </c>
      <c r="O158" s="229">
        <v>0.4</v>
      </c>
    </row>
    <row r="159" spans="2:15" x14ac:dyDescent="0.25">
      <c r="B159" s="159"/>
      <c r="C159" s="159"/>
      <c r="F159" s="156"/>
      <c r="J159" s="141"/>
      <c r="K159" s="188" t="s">
        <v>130</v>
      </c>
      <c r="L159" s="229">
        <v>1.4</v>
      </c>
      <c r="M159" s="141"/>
      <c r="N159" s="188" t="s">
        <v>130</v>
      </c>
      <c r="O159" s="229">
        <v>1.4</v>
      </c>
    </row>
    <row r="160" spans="2:15" x14ac:dyDescent="0.25">
      <c r="B160" s="159"/>
      <c r="C160" s="159"/>
      <c r="F160" s="156"/>
      <c r="J160" s="144"/>
      <c r="K160" s="193" t="s">
        <v>132</v>
      </c>
      <c r="L160" s="232">
        <v>96</v>
      </c>
      <c r="M160" s="144"/>
      <c r="N160" s="193" t="s">
        <v>132</v>
      </c>
      <c r="O160" s="232">
        <v>96</v>
      </c>
    </row>
    <row r="161" spans="1:29" x14ac:dyDescent="0.25">
      <c r="B161" s="159"/>
      <c r="C161" s="159"/>
      <c r="F161" s="156"/>
    </row>
    <row r="162" spans="1:29" x14ac:dyDescent="0.25">
      <c r="B162" s="159"/>
      <c r="C162" s="159"/>
      <c r="F162" s="156"/>
    </row>
    <row r="163" spans="1:29" x14ac:dyDescent="0.25">
      <c r="A163" s="244" t="str">
        <f>O164</f>
        <v>Cooling Capacity - f(WBrm, Toa)</v>
      </c>
      <c r="B163" s="244"/>
      <c r="C163" s="244"/>
      <c r="D163" s="244"/>
      <c r="E163" s="244"/>
      <c r="F163" s="244"/>
      <c r="G163" s="244"/>
      <c r="H163" s="244"/>
      <c r="I163" s="244"/>
      <c r="J163" s="244"/>
      <c r="K163" s="244"/>
      <c r="L163" s="244"/>
      <c r="M163" s="244"/>
      <c r="O163" s="163" t="s">
        <v>101</v>
      </c>
      <c r="P163" s="163"/>
      <c r="Q163" s="163"/>
      <c r="R163" s="245" t="s">
        <v>102</v>
      </c>
      <c r="S163" s="246"/>
      <c r="T163" s="247"/>
      <c r="U163" s="245" t="s">
        <v>102</v>
      </c>
      <c r="V163" s="246"/>
      <c r="W163" s="247"/>
      <c r="X163" s="245" t="s">
        <v>102</v>
      </c>
      <c r="Y163" s="246"/>
      <c r="Z163" s="247"/>
      <c r="AA163" s="245" t="s">
        <v>102</v>
      </c>
      <c r="AB163" s="246"/>
      <c r="AC163" s="247"/>
    </row>
    <row r="164" spans="1:29" ht="23.25" x14ac:dyDescent="0.35">
      <c r="A164" s="248" t="s">
        <v>163</v>
      </c>
      <c r="B164" s="249"/>
      <c r="C164" s="249"/>
      <c r="D164" s="249"/>
      <c r="E164" s="249"/>
      <c r="F164" s="249"/>
      <c r="G164" s="249"/>
      <c r="H164" s="250" t="s">
        <v>164</v>
      </c>
      <c r="I164" s="250" t="s">
        <v>165</v>
      </c>
      <c r="J164" s="250" t="s">
        <v>97</v>
      </c>
      <c r="K164" s="250" t="s">
        <v>96</v>
      </c>
      <c r="L164" s="250" t="s">
        <v>94</v>
      </c>
      <c r="M164" s="250" t="s">
        <v>95</v>
      </c>
      <c r="O164" s="165" t="s">
        <v>166</v>
      </c>
      <c r="P164" s="166"/>
      <c r="Q164" s="167"/>
      <c r="R164" s="207" t="s">
        <v>167</v>
      </c>
      <c r="S164" s="169"/>
      <c r="T164" s="170"/>
      <c r="U164" s="207" t="s">
        <v>168</v>
      </c>
      <c r="V164" s="169"/>
      <c r="W164" s="170"/>
      <c r="X164" s="207" t="s">
        <v>167</v>
      </c>
      <c r="Y164" s="169"/>
      <c r="Z164" s="170"/>
      <c r="AA164" s="207" t="s">
        <v>169</v>
      </c>
      <c r="AB164" s="169"/>
      <c r="AC164" s="170"/>
    </row>
    <row r="165" spans="1:29" ht="30" x14ac:dyDescent="0.25">
      <c r="A165" s="210" t="str">
        <f>O165</f>
        <v>WBent
(X)</v>
      </c>
      <c r="B165" s="210" t="s">
        <v>88</v>
      </c>
      <c r="C165" s="210" t="str">
        <f>P165</f>
        <v>Toa (Y)</v>
      </c>
      <c r="D165" s="210" t="s">
        <v>170</v>
      </c>
      <c r="E165" s="210" t="s">
        <v>171</v>
      </c>
      <c r="F165" s="210" t="s">
        <v>172</v>
      </c>
      <c r="G165" s="210" t="s">
        <v>173</v>
      </c>
      <c r="H165" s="251">
        <f t="array" ref="H165:M169">LINEST(F166:F180,A166:E180,TRUE,TRUE)</f>
        <v>-2.1701388888889189E-4</v>
      </c>
      <c r="I165" s="251">
        <v>-7.8735197782816381E-5</v>
      </c>
      <c r="J165" s="251">
        <v>3.4501173154447284E-3</v>
      </c>
      <c r="K165" s="251">
        <v>-4.5572916666663984E-4</v>
      </c>
      <c r="L165" s="251">
        <v>4.6755208333332444E-2</v>
      </c>
      <c r="M165" s="251">
        <v>0.39037171004976795</v>
      </c>
      <c r="O165" s="256" t="s">
        <v>174</v>
      </c>
      <c r="P165" s="257" t="s">
        <v>175</v>
      </c>
      <c r="Q165" s="256" t="s">
        <v>172</v>
      </c>
      <c r="R165" s="258" t="s">
        <v>176</v>
      </c>
      <c r="S165" s="259" t="s">
        <v>177</v>
      </c>
      <c r="T165" s="258" t="s">
        <v>172</v>
      </c>
      <c r="U165" s="258" t="s">
        <v>176</v>
      </c>
      <c r="V165" s="259" t="s">
        <v>177</v>
      </c>
      <c r="W165" s="258" t="s">
        <v>172</v>
      </c>
      <c r="X165" s="258" t="s">
        <v>176</v>
      </c>
      <c r="Y165" s="259" t="s">
        <v>177</v>
      </c>
      <c r="Z165" s="258" t="s">
        <v>172</v>
      </c>
      <c r="AA165" s="258" t="s">
        <v>176</v>
      </c>
      <c r="AB165" s="259" t="s">
        <v>177</v>
      </c>
      <c r="AC165" s="258" t="s">
        <v>172</v>
      </c>
    </row>
    <row r="166" spans="1:29" x14ac:dyDescent="0.25">
      <c r="A166" s="260">
        <f>$B$183</f>
        <v>17.8</v>
      </c>
      <c r="B166" s="112">
        <f t="shared" ref="B166:B180" si="10">A166^2</f>
        <v>316.84000000000003</v>
      </c>
      <c r="C166" s="260">
        <f>B184</f>
        <v>15.6</v>
      </c>
      <c r="D166" s="112">
        <f t="shared" ref="D166:D180" si="11">C166^2</f>
        <v>243.35999999999999</v>
      </c>
      <c r="E166" s="195">
        <f t="shared" ref="E166:E180" si="12">A166*C166</f>
        <v>277.68</v>
      </c>
      <c r="F166" s="261">
        <f t="shared" ref="F166:F180" si="13">Q166</f>
        <v>1.0526216049382715</v>
      </c>
      <c r="G166" s="261">
        <f>$M165+$L165*A166+$K165*B166+$J165*C166+$I165*D166+$H165*E166</f>
        <v>1.0526216049382713</v>
      </c>
      <c r="H166" s="252">
        <v>2.1218566391756795E-18</v>
      </c>
      <c r="I166" s="252">
        <v>4.1834862530201506E-19</v>
      </c>
      <c r="J166" s="252">
        <v>4.6957140735202531E-17</v>
      </c>
      <c r="K166" s="252">
        <v>1.8191131256610241E-17</v>
      </c>
      <c r="L166" s="252">
        <v>7.0830231654147786E-16</v>
      </c>
      <c r="M166" s="252">
        <v>6.9176415718060054E-15</v>
      </c>
      <c r="O166" s="175">
        <f>P183</f>
        <v>17.8</v>
      </c>
      <c r="P166" s="262">
        <f>P184</f>
        <v>15.6</v>
      </c>
      <c r="Q166" s="177">
        <v>1.0526216049382715</v>
      </c>
      <c r="R166" s="263">
        <f>S183</f>
        <v>17.777777777777779</v>
      </c>
      <c r="S166" s="264">
        <f>S184</f>
        <v>15.555555555555555</v>
      </c>
      <c r="T166" s="219">
        <v>1.0526216049382715</v>
      </c>
      <c r="U166" s="263">
        <f>V183</f>
        <v>15.555555555555555</v>
      </c>
      <c r="V166" s="264">
        <f>V184</f>
        <v>21.111111111111111</v>
      </c>
      <c r="W166" s="219"/>
      <c r="X166" s="263">
        <v>17.777777777777779</v>
      </c>
      <c r="Y166" s="264">
        <f>Y$184</f>
        <v>15.555555555555555</v>
      </c>
      <c r="Z166" s="219">
        <v>1.0420953888888889</v>
      </c>
      <c r="AA166" s="263">
        <v>17.777777777777779</v>
      </c>
      <c r="AB166" s="264">
        <v>15.555555555555555</v>
      </c>
      <c r="AC166" s="219">
        <v>1.0420953888888889</v>
      </c>
    </row>
    <row r="167" spans="1:29" x14ac:dyDescent="0.25">
      <c r="A167" s="111">
        <f>(A168+A166)/2</f>
        <v>19.399999999999999</v>
      </c>
      <c r="B167" s="112">
        <f t="shared" si="10"/>
        <v>376.35999999999996</v>
      </c>
      <c r="C167" s="111">
        <f>C166</f>
        <v>15.6</v>
      </c>
      <c r="D167" s="112">
        <f t="shared" si="11"/>
        <v>243.35999999999999</v>
      </c>
      <c r="E167" s="195">
        <f t="shared" si="12"/>
        <v>302.64</v>
      </c>
      <c r="F167" s="261">
        <f t="shared" si="13"/>
        <v>1.0948882716049382</v>
      </c>
      <c r="G167" s="261">
        <f>$M165+$L165*A167+$K165*B167+$J165*C167+$I165*D167+$H165*E167</f>
        <v>1.094888271604938</v>
      </c>
      <c r="H167" s="253">
        <v>1</v>
      </c>
      <c r="I167" s="254">
        <v>8.502351305201255E-17</v>
      </c>
      <c r="J167" s="254" t="e">
        <v>#N/A</v>
      </c>
      <c r="K167" s="254" t="e">
        <v>#N/A</v>
      </c>
      <c r="L167" s="254" t="e">
        <v>#N/A</v>
      </c>
      <c r="M167" s="254" t="e">
        <v>#N/A</v>
      </c>
      <c r="O167" s="175">
        <f>(O168+O166)/2</f>
        <v>19.399999999999999</v>
      </c>
      <c r="P167" s="262">
        <f>P166</f>
        <v>15.6</v>
      </c>
      <c r="Q167" s="177">
        <v>1.0948882716049382</v>
      </c>
      <c r="R167" s="263">
        <f>(R168+R166)/2</f>
        <v>19.444444444444443</v>
      </c>
      <c r="S167" s="264">
        <f>S166</f>
        <v>15.555555555555555</v>
      </c>
      <c r="T167" s="219">
        <v>1.0948882716049382</v>
      </c>
      <c r="U167" s="263">
        <f>(U168+U166)/2</f>
        <v>19.722222222222221</v>
      </c>
      <c r="V167" s="264">
        <f>V166</f>
        <v>21.111111111111111</v>
      </c>
      <c r="W167" s="219"/>
      <c r="X167" s="263">
        <v>19.444444444444443</v>
      </c>
      <c r="Y167" s="264">
        <f>Y166</f>
        <v>15.555555555555555</v>
      </c>
      <c r="Z167" s="219">
        <v>1.4233547530864197</v>
      </c>
      <c r="AA167" s="263">
        <v>19.444444444444443</v>
      </c>
      <c r="AB167" s="264">
        <v>15.555555555555555</v>
      </c>
      <c r="AC167" s="219">
        <v>1.4233547530864197</v>
      </c>
    </row>
    <row r="168" spans="1:29" x14ac:dyDescent="0.25">
      <c r="A168" s="260">
        <f>$C$183</f>
        <v>21</v>
      </c>
      <c r="B168" s="112">
        <f t="shared" si="10"/>
        <v>441</v>
      </c>
      <c r="C168" s="111">
        <f>C167</f>
        <v>15.6</v>
      </c>
      <c r="D168" s="112">
        <f t="shared" si="11"/>
        <v>243.35999999999999</v>
      </c>
      <c r="E168" s="195">
        <f t="shared" si="12"/>
        <v>327.59999999999997</v>
      </c>
      <c r="F168" s="261">
        <f t="shared" si="13"/>
        <v>1.1348216049382718</v>
      </c>
      <c r="G168" s="261">
        <f>$M165+$L165*A168+$K165*B168+$J165*C168+$I165*D168+$H165*E168</f>
        <v>1.1348216049382713</v>
      </c>
      <c r="H168" s="252">
        <v>1.0379470471115414E+30</v>
      </c>
      <c r="I168" s="252">
        <v>9</v>
      </c>
      <c r="J168" s="252" t="e">
        <v>#N/A</v>
      </c>
      <c r="K168" s="252" t="e">
        <v>#N/A</v>
      </c>
      <c r="L168" s="252" t="e">
        <v>#N/A</v>
      </c>
      <c r="M168" s="252" t="e">
        <v>#N/A</v>
      </c>
      <c r="O168" s="175">
        <f>Q183</f>
        <v>21</v>
      </c>
      <c r="P168" s="262">
        <f>P167</f>
        <v>15.6</v>
      </c>
      <c r="Q168" s="177">
        <v>1.1348216049382718</v>
      </c>
      <c r="R168" s="263">
        <f>T183</f>
        <v>21.111111111111111</v>
      </c>
      <c r="S168" s="264">
        <f>S167</f>
        <v>15.555555555555555</v>
      </c>
      <c r="T168" s="219">
        <v>1.1348216049382718</v>
      </c>
      <c r="U168" s="263">
        <f>W183</f>
        <v>23.888888888888889</v>
      </c>
      <c r="V168" s="264">
        <f>V167</f>
        <v>21.111111111111111</v>
      </c>
      <c r="W168" s="219"/>
      <c r="X168" s="263">
        <v>21.111111111111111</v>
      </c>
      <c r="Y168" s="264">
        <f>Y167</f>
        <v>15.555555555555555</v>
      </c>
      <c r="Z168" s="219">
        <v>1.929196728395062</v>
      </c>
      <c r="AA168" s="263">
        <v>21.111111111111111</v>
      </c>
      <c r="AB168" s="264">
        <v>15.555555555555555</v>
      </c>
      <c r="AC168" s="219">
        <v>1.929196728395062</v>
      </c>
    </row>
    <row r="169" spans="1:29" x14ac:dyDescent="0.25">
      <c r="A169" s="111">
        <f t="shared" ref="A169:A180" si="14">A166</f>
        <v>17.8</v>
      </c>
      <c r="B169" s="112">
        <f t="shared" si="10"/>
        <v>316.84000000000003</v>
      </c>
      <c r="C169" s="260">
        <f>C166+0.25*(C184-B184)</f>
        <v>21.2</v>
      </c>
      <c r="D169" s="112">
        <f t="shared" si="11"/>
        <v>449.44</v>
      </c>
      <c r="E169" s="195">
        <f t="shared" si="12"/>
        <v>377.36</v>
      </c>
      <c r="F169" s="261">
        <f t="shared" si="13"/>
        <v>1.0340845679012345</v>
      </c>
      <c r="G169" s="261">
        <f>$M165+$L165*A169+$K165*B169+$J165*C169+$I165*D169+$H165*E169</f>
        <v>1.0340845679012345</v>
      </c>
      <c r="H169" s="255">
        <v>3.751658445358947E-2</v>
      </c>
      <c r="I169" s="255">
        <v>6.5060979945351741E-32</v>
      </c>
      <c r="J169" s="255" t="e">
        <v>#N/A</v>
      </c>
      <c r="K169" s="255" t="e">
        <v>#N/A</v>
      </c>
      <c r="L169" s="255" t="e">
        <v>#N/A</v>
      </c>
      <c r="M169" s="255" t="e">
        <v>#N/A</v>
      </c>
      <c r="O169" s="175">
        <f t="shared" ref="O169:O180" si="15">O166</f>
        <v>17.8</v>
      </c>
      <c r="P169" s="262">
        <f>(Q$184-P$184)/4+P166</f>
        <v>21.2</v>
      </c>
      <c r="Q169" s="177">
        <v>1.0340845679012345</v>
      </c>
      <c r="R169" s="263">
        <f t="shared" ref="R169:R180" si="16">R166</f>
        <v>17.777777777777779</v>
      </c>
      <c r="S169" s="264">
        <f>(T$184-S$184)/4+S166</f>
        <v>21.111111111111111</v>
      </c>
      <c r="T169" s="219">
        <v>1.0340845679012345</v>
      </c>
      <c r="U169" s="263">
        <f t="shared" ref="U169:U180" si="17">U166</f>
        <v>15.555555555555555</v>
      </c>
      <c r="V169" s="264">
        <f>(W$184-V$184)/4+V166</f>
        <v>27.361111111111111</v>
      </c>
      <c r="W169" s="219"/>
      <c r="X169" s="263">
        <v>17.777777777777779</v>
      </c>
      <c r="Y169" s="264">
        <f>(Z$184-Y$184)/4+Y166</f>
        <v>20.416666666666664</v>
      </c>
      <c r="Z169" s="219">
        <v>1.0237437222222221</v>
      </c>
      <c r="AA169" s="263">
        <v>17.777777777777779</v>
      </c>
      <c r="AB169" s="264">
        <v>21.111111111111111</v>
      </c>
      <c r="AC169" s="219">
        <v>1.0237437222222221</v>
      </c>
    </row>
    <row r="170" spans="1:29" x14ac:dyDescent="0.25">
      <c r="A170" s="111">
        <f t="shared" si="14"/>
        <v>19.399999999999999</v>
      </c>
      <c r="B170" s="112">
        <f t="shared" si="10"/>
        <v>376.35999999999996</v>
      </c>
      <c r="C170" s="111">
        <f>C169</f>
        <v>21.2</v>
      </c>
      <c r="D170" s="112">
        <f t="shared" si="11"/>
        <v>449.44</v>
      </c>
      <c r="E170" s="195">
        <f t="shared" si="12"/>
        <v>411.28</v>
      </c>
      <c r="F170" s="261">
        <f t="shared" si="13"/>
        <v>1.0744067901234566</v>
      </c>
      <c r="G170" s="261">
        <f>$M165+$L165*A170+$K165*B170+$J165*C170+$I165*D170+$H165*E170</f>
        <v>1.0744067901234566</v>
      </c>
      <c r="O170" s="175">
        <f t="shared" si="15"/>
        <v>19.399999999999999</v>
      </c>
      <c r="P170" s="262">
        <f>P169</f>
        <v>21.2</v>
      </c>
      <c r="Q170" s="177">
        <v>1.0744067901234566</v>
      </c>
      <c r="R170" s="263">
        <f t="shared" si="16"/>
        <v>19.444444444444443</v>
      </c>
      <c r="S170" s="264">
        <f>S169</f>
        <v>21.111111111111111</v>
      </c>
      <c r="T170" s="219">
        <v>1.0744067901234566</v>
      </c>
      <c r="U170" s="263">
        <f t="shared" si="17"/>
        <v>19.722222222222221</v>
      </c>
      <c r="V170" s="264">
        <f>V169</f>
        <v>27.361111111111111</v>
      </c>
      <c r="W170" s="219"/>
      <c r="X170" s="263">
        <v>19.444444444444443</v>
      </c>
      <c r="Y170" s="264">
        <f>Y169</f>
        <v>20.416666666666664</v>
      </c>
      <c r="Z170" s="219">
        <v>1.3967288271604936</v>
      </c>
      <c r="AA170" s="263">
        <v>19.444444444444443</v>
      </c>
      <c r="AB170" s="264">
        <v>21.111111111111111</v>
      </c>
      <c r="AC170" s="219">
        <v>1.3967288271604936</v>
      </c>
    </row>
    <row r="171" spans="1:29" x14ac:dyDescent="0.25">
      <c r="A171" s="111">
        <f t="shared" si="14"/>
        <v>21</v>
      </c>
      <c r="B171" s="112">
        <f t="shared" si="10"/>
        <v>441</v>
      </c>
      <c r="C171" s="111">
        <f>C170</f>
        <v>21.2</v>
      </c>
      <c r="D171" s="112">
        <f t="shared" si="11"/>
        <v>449.44</v>
      </c>
      <c r="E171" s="195">
        <f t="shared" si="12"/>
        <v>445.2</v>
      </c>
      <c r="F171" s="261">
        <f t="shared" si="13"/>
        <v>1.1123956790123457</v>
      </c>
      <c r="G171" s="261">
        <f>$M165+$L165*A171+$K165*B171+$J165*C171+$I165*D171+$H165*E171</f>
        <v>1.1123956790123455</v>
      </c>
      <c r="O171" s="175">
        <f t="shared" si="15"/>
        <v>21</v>
      </c>
      <c r="P171" s="262">
        <f>P170</f>
        <v>21.2</v>
      </c>
      <c r="Q171" s="177">
        <v>1.1123956790123457</v>
      </c>
      <c r="R171" s="263">
        <f t="shared" si="16"/>
        <v>21.111111111111111</v>
      </c>
      <c r="S171" s="264">
        <f>S170</f>
        <v>21.111111111111111</v>
      </c>
      <c r="T171" s="219">
        <v>1.1123956790123457</v>
      </c>
      <c r="U171" s="263">
        <f t="shared" si="17"/>
        <v>23.888888888888889</v>
      </c>
      <c r="V171" s="264">
        <f>V170</f>
        <v>27.361111111111111</v>
      </c>
      <c r="W171" s="219"/>
      <c r="X171" s="263">
        <v>21.111111111111111</v>
      </c>
      <c r="Y171" s="264">
        <f>Y170</f>
        <v>20.416666666666664</v>
      </c>
      <c r="Z171" s="219">
        <v>1.8910726543209877</v>
      </c>
      <c r="AA171" s="263">
        <v>21.111111111111111</v>
      </c>
      <c r="AB171" s="264">
        <v>21.111111111111111</v>
      </c>
      <c r="AC171" s="219">
        <v>1.8910726543209877</v>
      </c>
    </row>
    <row r="172" spans="1:29" x14ac:dyDescent="0.25">
      <c r="A172" s="111">
        <f t="shared" si="14"/>
        <v>17.8</v>
      </c>
      <c r="B172" s="112">
        <f t="shared" si="10"/>
        <v>316.84000000000003</v>
      </c>
      <c r="C172" s="260">
        <f>C169+0.25*(C184-B184)</f>
        <v>26.799999999999997</v>
      </c>
      <c r="D172" s="112">
        <f t="shared" si="11"/>
        <v>718.2399999999999</v>
      </c>
      <c r="E172" s="195">
        <f t="shared" si="12"/>
        <v>477.03999999999996</v>
      </c>
      <c r="F172" s="261">
        <f t="shared" si="13"/>
        <v>1.010609259259259</v>
      </c>
      <c r="G172" s="261">
        <f>$M165+$L165*A172+$K165*B172+$J165*C172+$I165*D172+$H165*E172</f>
        <v>1.0106092592592593</v>
      </c>
      <c r="O172" s="175">
        <f t="shared" si="15"/>
        <v>17.8</v>
      </c>
      <c r="P172" s="262">
        <f>(Q$184-P$184)/4+P169</f>
        <v>26.799999999999997</v>
      </c>
      <c r="Q172" s="177">
        <v>1.010609259259259</v>
      </c>
      <c r="R172" s="263">
        <f t="shared" si="16"/>
        <v>17.777777777777779</v>
      </c>
      <c r="S172" s="264">
        <f>(T$184-S$184)/4+S169</f>
        <v>26.666666666666664</v>
      </c>
      <c r="T172" s="219">
        <v>1.010609259259259</v>
      </c>
      <c r="U172" s="263">
        <f t="shared" si="17"/>
        <v>15.555555555555555</v>
      </c>
      <c r="V172" s="264">
        <f>(W$184-V$184)/4+V169</f>
        <v>33.611111111111114</v>
      </c>
      <c r="W172" s="219"/>
      <c r="X172" s="263">
        <v>17.777777777777779</v>
      </c>
      <c r="Y172" s="264">
        <f>(Z$184-Y$184)/4+Y169</f>
        <v>25.277777777777775</v>
      </c>
      <c r="Z172" s="219">
        <v>1.0005031666666664</v>
      </c>
      <c r="AA172" s="263">
        <v>17.777777777777779</v>
      </c>
      <c r="AB172" s="264">
        <v>26.666666666666664</v>
      </c>
      <c r="AC172" s="219">
        <v>1.0005031666666664</v>
      </c>
    </row>
    <row r="173" spans="1:29" x14ac:dyDescent="0.25">
      <c r="A173" s="111">
        <f t="shared" si="14"/>
        <v>19.399999999999999</v>
      </c>
      <c r="B173" s="112">
        <f t="shared" si="10"/>
        <v>376.35999999999996</v>
      </c>
      <c r="C173" s="111">
        <f>C172</f>
        <v>26.799999999999997</v>
      </c>
      <c r="D173" s="112">
        <f t="shared" si="11"/>
        <v>718.2399999999999</v>
      </c>
      <c r="E173" s="195">
        <f t="shared" si="12"/>
        <v>519.91999999999996</v>
      </c>
      <c r="F173" s="261">
        <f t="shared" si="13"/>
        <v>1.0489870370370369</v>
      </c>
      <c r="G173" s="261">
        <f>$M165+$L165*A173+$K165*B173+$J165*C173+$I165*D173+$H165*E173</f>
        <v>1.0489870370370369</v>
      </c>
      <c r="H173" s="265" t="s">
        <v>93</v>
      </c>
      <c r="I173" s="266"/>
      <c r="O173" s="175">
        <f t="shared" si="15"/>
        <v>19.399999999999999</v>
      </c>
      <c r="P173" s="262">
        <f>P172</f>
        <v>26.799999999999997</v>
      </c>
      <c r="Q173" s="177">
        <v>1.0489870370370369</v>
      </c>
      <c r="R173" s="263">
        <f t="shared" si="16"/>
        <v>19.444444444444443</v>
      </c>
      <c r="S173" s="264">
        <f>S172</f>
        <v>26.666666666666664</v>
      </c>
      <c r="T173" s="219">
        <v>1.0489870370370369</v>
      </c>
      <c r="U173" s="263">
        <f t="shared" si="17"/>
        <v>19.722222222222221</v>
      </c>
      <c r="V173" s="264">
        <f>V172</f>
        <v>33.611111111111114</v>
      </c>
      <c r="W173" s="219"/>
      <c r="X173" s="263">
        <v>19.444444444444443</v>
      </c>
      <c r="Y173" s="264">
        <f>Y172</f>
        <v>25.277777777777775</v>
      </c>
      <c r="Z173" s="219">
        <v>1.3636831481481479</v>
      </c>
      <c r="AA173" s="263">
        <v>19.444444444444443</v>
      </c>
      <c r="AB173" s="264">
        <v>26.666666666666664</v>
      </c>
      <c r="AC173" s="219">
        <v>1.3636831481481479</v>
      </c>
    </row>
    <row r="174" spans="1:29" x14ac:dyDescent="0.25">
      <c r="A174" s="111">
        <f t="shared" si="14"/>
        <v>21</v>
      </c>
      <c r="B174" s="112">
        <f t="shared" si="10"/>
        <v>441</v>
      </c>
      <c r="C174" s="111">
        <f>C173</f>
        <v>26.799999999999997</v>
      </c>
      <c r="D174" s="112">
        <f t="shared" si="11"/>
        <v>718.2399999999999</v>
      </c>
      <c r="E174" s="195">
        <f t="shared" si="12"/>
        <v>562.79999999999995</v>
      </c>
      <c r="F174" s="261">
        <f t="shared" si="13"/>
        <v>1.0850314814814814</v>
      </c>
      <c r="G174" s="261">
        <f>$M165+$L165*A174+$K165*B174+$J165*C174+$I165*D174+$H165*E174</f>
        <v>1.0850314814814814</v>
      </c>
      <c r="H174" s="267"/>
      <c r="I174" s="266" t="s">
        <v>178</v>
      </c>
      <c r="O174" s="175">
        <f t="shared" si="15"/>
        <v>21</v>
      </c>
      <c r="P174" s="262">
        <f>P173</f>
        <v>26.799999999999997</v>
      </c>
      <c r="Q174" s="177">
        <v>1.0850314814814814</v>
      </c>
      <c r="R174" s="263">
        <f t="shared" si="16"/>
        <v>21.111111111111111</v>
      </c>
      <c r="S174" s="264">
        <f>S173</f>
        <v>26.666666666666664</v>
      </c>
      <c r="T174" s="219">
        <v>1.0850314814814814</v>
      </c>
      <c r="U174" s="263">
        <f t="shared" si="17"/>
        <v>23.888888888888889</v>
      </c>
      <c r="V174" s="264">
        <f>V173</f>
        <v>33.611111111111114</v>
      </c>
      <c r="W174" s="219"/>
      <c r="X174" s="263">
        <v>21.111111111111111</v>
      </c>
      <c r="Y174" s="264">
        <f>Y173</f>
        <v>25.277777777777775</v>
      </c>
      <c r="Z174" s="219">
        <v>1.8445535185185185</v>
      </c>
      <c r="AA174" s="263">
        <v>21.111111111111111</v>
      </c>
      <c r="AB174" s="264">
        <v>26.666666666666664</v>
      </c>
      <c r="AC174" s="219">
        <v>1.8445535185185185</v>
      </c>
    </row>
    <row r="175" spans="1:29" x14ac:dyDescent="0.25">
      <c r="A175" s="111">
        <f t="shared" si="14"/>
        <v>17.8</v>
      </c>
      <c r="B175" s="112">
        <f t="shared" si="10"/>
        <v>316.84000000000003</v>
      </c>
      <c r="C175" s="260">
        <f>C172+0.25*(C184-B184)</f>
        <v>32.4</v>
      </c>
      <c r="D175" s="112">
        <f t="shared" si="11"/>
        <v>1049.76</v>
      </c>
      <c r="E175" s="195">
        <f t="shared" si="12"/>
        <v>576.72</v>
      </c>
      <c r="F175" s="261">
        <f t="shared" si="13"/>
        <v>0.98219567901234561</v>
      </c>
      <c r="G175" s="261">
        <f>$M165+$L165*A175+$K165*B175+$J165*C175+$I165*D175+$H165*E175</f>
        <v>0.9821956790123455</v>
      </c>
      <c r="H175" s="268" t="s">
        <v>124</v>
      </c>
      <c r="I175" s="269">
        <f>ROUND(M165,6)</f>
        <v>0.390372</v>
      </c>
      <c r="O175" s="175">
        <f t="shared" si="15"/>
        <v>17.8</v>
      </c>
      <c r="P175" s="262">
        <f>(Q$184-P$184)/4+P172</f>
        <v>32.4</v>
      </c>
      <c r="Q175" s="177">
        <v>0.98219567901234561</v>
      </c>
      <c r="R175" s="263">
        <f t="shared" si="16"/>
        <v>17.777777777777779</v>
      </c>
      <c r="S175" s="264">
        <f>(T$184-S$184)/4+S172</f>
        <v>32.222222222222221</v>
      </c>
      <c r="T175" s="219">
        <v>0.98219567901234561</v>
      </c>
      <c r="U175" s="263">
        <f t="shared" si="17"/>
        <v>15.555555555555555</v>
      </c>
      <c r="V175" s="264">
        <f>(W$184-V$184)/4+V172</f>
        <v>39.861111111111114</v>
      </c>
      <c r="W175" s="219"/>
      <c r="X175" s="263">
        <v>17.777777777777779</v>
      </c>
      <c r="Y175" s="264">
        <f>(Z$184-Y$184)/4+Y172</f>
        <v>30.138888888888886</v>
      </c>
      <c r="Z175" s="219">
        <v>0.97237372222222218</v>
      </c>
      <c r="AA175" s="263">
        <v>17.777777777777779</v>
      </c>
      <c r="AB175" s="264">
        <v>32.222222222222221</v>
      </c>
      <c r="AC175" s="219">
        <v>0.97237372222222218</v>
      </c>
    </row>
    <row r="176" spans="1:29" x14ac:dyDescent="0.25">
      <c r="A176" s="111">
        <f t="shared" si="14"/>
        <v>19.399999999999999</v>
      </c>
      <c r="B176" s="112">
        <f t="shared" si="10"/>
        <v>376.35999999999996</v>
      </c>
      <c r="C176" s="111">
        <f>C175</f>
        <v>32.4</v>
      </c>
      <c r="D176" s="112">
        <f t="shared" si="11"/>
        <v>1049.76</v>
      </c>
      <c r="E176" s="195">
        <f t="shared" si="12"/>
        <v>628.55999999999995</v>
      </c>
      <c r="F176" s="261">
        <f t="shared" si="13"/>
        <v>1.0186290123456789</v>
      </c>
      <c r="G176" s="261">
        <f>$M165+$L165*A176+$K165*B176+$J165*C176+$I165*D176+$H165*E176</f>
        <v>1.0186290123456789</v>
      </c>
      <c r="H176" s="268" t="s">
        <v>125</v>
      </c>
      <c r="I176" s="269">
        <f>ROUND(L165,6)</f>
        <v>4.6754999999999998E-2</v>
      </c>
      <c r="J176" s="270"/>
      <c r="O176" s="175">
        <f t="shared" si="15"/>
        <v>19.399999999999999</v>
      </c>
      <c r="P176" s="262">
        <f>P175</f>
        <v>32.4</v>
      </c>
      <c r="Q176" s="177">
        <v>1.0186290123456789</v>
      </c>
      <c r="R176" s="263">
        <f t="shared" si="16"/>
        <v>19.444444444444443</v>
      </c>
      <c r="S176" s="264">
        <f>S175</f>
        <v>32.222222222222221</v>
      </c>
      <c r="T176" s="219">
        <v>1.0186290123456789</v>
      </c>
      <c r="U176" s="263">
        <f t="shared" si="17"/>
        <v>19.722222222222221</v>
      </c>
      <c r="V176" s="264">
        <f>V175</f>
        <v>39.861111111111114</v>
      </c>
      <c r="W176" s="219"/>
      <c r="X176" s="263">
        <v>19.444444444444443</v>
      </c>
      <c r="Y176" s="264">
        <f>Y175</f>
        <v>30.138888888888886</v>
      </c>
      <c r="Z176" s="219">
        <v>1.3242177160493827</v>
      </c>
      <c r="AA176" s="263">
        <v>19.444444444444443</v>
      </c>
      <c r="AB176" s="264">
        <v>32.222222222222221</v>
      </c>
      <c r="AC176" s="219">
        <v>1.3242177160493827</v>
      </c>
    </row>
    <row r="177" spans="1:29" x14ac:dyDescent="0.25">
      <c r="A177" s="111">
        <f t="shared" si="14"/>
        <v>21</v>
      </c>
      <c r="B177" s="112">
        <f t="shared" si="10"/>
        <v>441</v>
      </c>
      <c r="C177" s="111">
        <f>C176</f>
        <v>32.4</v>
      </c>
      <c r="D177" s="112">
        <f t="shared" si="11"/>
        <v>1049.76</v>
      </c>
      <c r="E177" s="195">
        <f t="shared" si="12"/>
        <v>680.4</v>
      </c>
      <c r="F177" s="261">
        <f t="shared" si="13"/>
        <v>1.0527290123456792</v>
      </c>
      <c r="G177" s="261">
        <f>$M165+$L165*A177+$K165*B177+$J165*C177+$I165*D177+$H165*E177</f>
        <v>1.0527290123456787</v>
      </c>
      <c r="H177" s="268" t="s">
        <v>126</v>
      </c>
      <c r="I177" s="269">
        <f>ROUND(K165,6)</f>
        <v>-4.5600000000000003E-4</v>
      </c>
      <c r="J177" s="271"/>
      <c r="O177" s="175">
        <f t="shared" si="15"/>
        <v>21</v>
      </c>
      <c r="P177" s="262">
        <f>P176</f>
        <v>32.4</v>
      </c>
      <c r="Q177" s="177">
        <v>1.0527290123456792</v>
      </c>
      <c r="R177" s="263">
        <f t="shared" si="16"/>
        <v>21.111111111111111</v>
      </c>
      <c r="S177" s="264">
        <f>S176</f>
        <v>32.222222222222221</v>
      </c>
      <c r="T177" s="219">
        <v>1.0527290123456792</v>
      </c>
      <c r="U177" s="263">
        <f t="shared" si="17"/>
        <v>23.888888888888889</v>
      </c>
      <c r="V177" s="264">
        <f>V176</f>
        <v>39.861111111111114</v>
      </c>
      <c r="W177" s="219"/>
      <c r="X177" s="263">
        <v>21.111111111111111</v>
      </c>
      <c r="Y177" s="264">
        <f>Y176</f>
        <v>30.138888888888886</v>
      </c>
      <c r="Z177" s="219">
        <v>1.7896393209876544</v>
      </c>
      <c r="AA177" s="263">
        <v>21.111111111111111</v>
      </c>
      <c r="AB177" s="264">
        <v>32.222222222222221</v>
      </c>
      <c r="AC177" s="219">
        <v>1.7896393209876544</v>
      </c>
    </row>
    <row r="178" spans="1:29" x14ac:dyDescent="0.25">
      <c r="A178" s="111">
        <f t="shared" si="14"/>
        <v>17.8</v>
      </c>
      <c r="B178" s="112">
        <f t="shared" si="10"/>
        <v>316.84000000000003</v>
      </c>
      <c r="C178" s="260">
        <f>C175+0.25*(C184-B184)</f>
        <v>38</v>
      </c>
      <c r="D178" s="112">
        <f t="shared" si="11"/>
        <v>1444</v>
      </c>
      <c r="E178" s="195">
        <f t="shared" si="12"/>
        <v>676.4</v>
      </c>
      <c r="F178" s="261">
        <f t="shared" si="13"/>
        <v>0.94884382716049376</v>
      </c>
      <c r="G178" s="261">
        <f>$M165+$L165*A178+$K165*B178+$J165*C178+$I165*D178+$H165*E178</f>
        <v>0.94884382716049376</v>
      </c>
      <c r="H178" s="268" t="s">
        <v>127</v>
      </c>
      <c r="I178" s="269">
        <f>ROUND(J165,6)</f>
        <v>3.4499999999999999E-3</v>
      </c>
      <c r="J178" s="271"/>
      <c r="O178" s="175">
        <f t="shared" si="15"/>
        <v>17.8</v>
      </c>
      <c r="P178" s="262">
        <f>(Q$184-P$184)/4+P175</f>
        <v>38</v>
      </c>
      <c r="Q178" s="177">
        <v>0.94884382716049376</v>
      </c>
      <c r="R178" s="263">
        <f t="shared" si="16"/>
        <v>17.777777777777779</v>
      </c>
      <c r="S178" s="264">
        <f>(T$184-S$184)/4+S175</f>
        <v>37.777777777777779</v>
      </c>
      <c r="T178" s="219">
        <v>0.94884382716049376</v>
      </c>
      <c r="U178" s="263">
        <f t="shared" si="17"/>
        <v>15.555555555555555</v>
      </c>
      <c r="V178" s="264">
        <f>(W$184-V$184)/4+V175</f>
        <v>46.111111111111114</v>
      </c>
      <c r="W178" s="219"/>
      <c r="X178" s="263">
        <v>17.777777777777779</v>
      </c>
      <c r="Y178" s="264">
        <f>(Z$184-Y$184)/4+Y175</f>
        <v>35</v>
      </c>
      <c r="Z178" s="219">
        <v>0.93935538888888881</v>
      </c>
      <c r="AA178" s="263">
        <v>17.777777777777779</v>
      </c>
      <c r="AB178" s="264">
        <v>37.777777777777779</v>
      </c>
      <c r="AC178" s="219">
        <v>0.93935538888888881</v>
      </c>
    </row>
    <row r="179" spans="1:29" x14ac:dyDescent="0.25">
      <c r="A179" s="111">
        <f t="shared" si="14"/>
        <v>19.399999999999999</v>
      </c>
      <c r="B179" s="112">
        <f t="shared" si="10"/>
        <v>376.35999999999996</v>
      </c>
      <c r="C179" s="111">
        <f>C178</f>
        <v>38</v>
      </c>
      <c r="D179" s="112">
        <f t="shared" si="11"/>
        <v>1444</v>
      </c>
      <c r="E179" s="195">
        <f t="shared" si="12"/>
        <v>737.19999999999993</v>
      </c>
      <c r="F179" s="261">
        <f t="shared" si="13"/>
        <v>0.98333271604938255</v>
      </c>
      <c r="G179" s="261">
        <f>$M165+$L165*A179+$K165*B179+$J165*C179+$I165*D179+$H165*E179</f>
        <v>0.98333271604938244</v>
      </c>
      <c r="H179" s="268" t="s">
        <v>179</v>
      </c>
      <c r="I179" s="269">
        <f>ROUND(I165,6)</f>
        <v>-7.8999999999999996E-5</v>
      </c>
      <c r="J179" s="271"/>
      <c r="O179" s="175">
        <f t="shared" si="15"/>
        <v>19.399999999999999</v>
      </c>
      <c r="P179" s="262">
        <f>P178</f>
        <v>38</v>
      </c>
      <c r="Q179" s="177">
        <v>0.98333271604938255</v>
      </c>
      <c r="R179" s="263">
        <f t="shared" si="16"/>
        <v>19.444444444444443</v>
      </c>
      <c r="S179" s="264">
        <f>S178</f>
        <v>37.777777777777779</v>
      </c>
      <c r="T179" s="219">
        <v>0.98333271604938255</v>
      </c>
      <c r="U179" s="263">
        <f t="shared" si="17"/>
        <v>19.722222222222221</v>
      </c>
      <c r="V179" s="264">
        <f>V178</f>
        <v>46.111111111111114</v>
      </c>
      <c r="W179" s="219"/>
      <c r="X179" s="263">
        <v>19.444444444444443</v>
      </c>
      <c r="Y179" s="264">
        <f>Y178</f>
        <v>35</v>
      </c>
      <c r="Z179" s="219">
        <v>1.2783325308641973</v>
      </c>
      <c r="AA179" s="263">
        <v>19.444444444444443</v>
      </c>
      <c r="AB179" s="264">
        <v>37.777777777777779</v>
      </c>
      <c r="AC179" s="219">
        <v>1.2783325308641973</v>
      </c>
    </row>
    <row r="180" spans="1:29" x14ac:dyDescent="0.25">
      <c r="A180" s="111">
        <f t="shared" si="14"/>
        <v>21</v>
      </c>
      <c r="B180" s="112">
        <f t="shared" si="10"/>
        <v>441</v>
      </c>
      <c r="C180" s="111">
        <f>C179</f>
        <v>38</v>
      </c>
      <c r="D180" s="112">
        <f t="shared" si="11"/>
        <v>1444</v>
      </c>
      <c r="E180" s="195">
        <f t="shared" si="12"/>
        <v>798</v>
      </c>
      <c r="F180" s="261">
        <f t="shared" si="13"/>
        <v>1.0154882716049383</v>
      </c>
      <c r="G180" s="261">
        <f>$M165+$L165*A180+$K165*B180+$J165*C180+$I165*D180+$H165*E180</f>
        <v>1.015488271604938</v>
      </c>
      <c r="H180" s="268" t="s">
        <v>180</v>
      </c>
      <c r="I180" s="269">
        <f>ROUND(H165,6)</f>
        <v>-2.1699999999999999E-4</v>
      </c>
      <c r="J180" s="271"/>
      <c r="O180" s="175">
        <f t="shared" si="15"/>
        <v>21</v>
      </c>
      <c r="P180" s="262">
        <f>P179</f>
        <v>38</v>
      </c>
      <c r="Q180" s="177">
        <v>1.0154882716049383</v>
      </c>
      <c r="R180" s="263">
        <f t="shared" si="16"/>
        <v>21.111111111111111</v>
      </c>
      <c r="S180" s="264">
        <f>S179</f>
        <v>37.777777777777779</v>
      </c>
      <c r="T180" s="219">
        <v>1.0154882716049383</v>
      </c>
      <c r="U180" s="263">
        <f t="shared" si="17"/>
        <v>23.888888888888889</v>
      </c>
      <c r="V180" s="264">
        <f>V179</f>
        <v>46.111111111111114</v>
      </c>
      <c r="W180" s="219"/>
      <c r="X180" s="263">
        <v>21.111111111111111</v>
      </c>
      <c r="Y180" s="264">
        <f>Y179</f>
        <v>35</v>
      </c>
      <c r="Z180" s="219">
        <v>1.726330061728395</v>
      </c>
      <c r="AA180" s="263">
        <v>21.111111111111111</v>
      </c>
      <c r="AB180" s="264">
        <v>37.777777777777779</v>
      </c>
      <c r="AC180" s="219">
        <v>1.726330061728395</v>
      </c>
    </row>
    <row r="181" spans="1:29" x14ac:dyDescent="0.25">
      <c r="A181" s="272"/>
      <c r="B181" s="272"/>
      <c r="C181" s="272"/>
      <c r="D181" s="272"/>
      <c r="E181" s="272"/>
      <c r="F181" s="272"/>
      <c r="G181" s="272"/>
      <c r="J181" s="271"/>
      <c r="O181" s="181"/>
      <c r="P181" s="182"/>
      <c r="Q181" s="183"/>
      <c r="R181" s="273"/>
      <c r="S181" s="226"/>
      <c r="T181" s="224"/>
      <c r="U181" s="273"/>
      <c r="V181" s="226"/>
      <c r="W181" s="224"/>
      <c r="X181" s="273"/>
      <c r="Y181" s="226"/>
      <c r="Z181" s="224"/>
      <c r="AA181" s="273"/>
      <c r="AB181" s="226"/>
      <c r="AC181" s="224"/>
    </row>
    <row r="182" spans="1:29" x14ac:dyDescent="0.25">
      <c r="A182" s="274"/>
      <c r="B182" s="275" t="s">
        <v>181</v>
      </c>
      <c r="C182" s="275" t="s">
        <v>182</v>
      </c>
      <c r="H182" s="158" t="s">
        <v>99</v>
      </c>
      <c r="J182" s="271"/>
      <c r="O182" s="276"/>
      <c r="P182" s="257" t="s">
        <v>183</v>
      </c>
      <c r="Q182" s="257" t="s">
        <v>184</v>
      </c>
      <c r="R182" s="274"/>
      <c r="S182" s="275" t="s">
        <v>183</v>
      </c>
      <c r="T182" s="275" t="s">
        <v>184</v>
      </c>
      <c r="U182" s="274"/>
      <c r="V182" s="275" t="s">
        <v>183</v>
      </c>
      <c r="W182" s="275" t="s">
        <v>184</v>
      </c>
      <c r="X182" s="274"/>
      <c r="Y182" s="275" t="s">
        <v>183</v>
      </c>
      <c r="Z182" s="275" t="s">
        <v>184</v>
      </c>
      <c r="AA182" s="274"/>
      <c r="AB182" s="275" t="s">
        <v>183</v>
      </c>
      <c r="AC182" s="275" t="s">
        <v>184</v>
      </c>
    </row>
    <row r="183" spans="1:29" x14ac:dyDescent="0.25">
      <c r="A183" s="274" t="s">
        <v>185</v>
      </c>
      <c r="B183" s="277">
        <f>P183</f>
        <v>17.8</v>
      </c>
      <c r="C183" s="277">
        <f>Q183</f>
        <v>21</v>
      </c>
      <c r="H183" s="278"/>
      <c r="J183" s="270"/>
      <c r="O183" s="276" t="s">
        <v>186</v>
      </c>
      <c r="P183" s="279">
        <v>17.8</v>
      </c>
      <c r="Q183" s="279">
        <v>21</v>
      </c>
      <c r="R183" s="280" t="s">
        <v>186</v>
      </c>
      <c r="S183" s="281">
        <v>17.777777777777779</v>
      </c>
      <c r="T183" s="281">
        <v>21.111111111111111</v>
      </c>
      <c r="U183" s="280" t="s">
        <v>186</v>
      </c>
      <c r="V183" s="281">
        <v>15.555555555555555</v>
      </c>
      <c r="W183" s="281">
        <v>23.888888888888889</v>
      </c>
      <c r="X183" s="280" t="s">
        <v>186</v>
      </c>
      <c r="Y183" s="281">
        <v>17.777777777777779</v>
      </c>
      <c r="Z183" s="281">
        <v>21.111111111111111</v>
      </c>
      <c r="AA183" s="280" t="s">
        <v>186</v>
      </c>
      <c r="AB183" s="281">
        <v>17.777777777777779</v>
      </c>
      <c r="AC183" s="281">
        <v>21.111111111111111</v>
      </c>
    </row>
    <row r="184" spans="1:29" x14ac:dyDescent="0.25">
      <c r="A184" s="274" t="s">
        <v>187</v>
      </c>
      <c r="B184" s="277">
        <f>P184</f>
        <v>15.6</v>
      </c>
      <c r="C184" s="277">
        <f>Q184</f>
        <v>38</v>
      </c>
      <c r="H184" s="282"/>
      <c r="O184" s="276" t="s">
        <v>188</v>
      </c>
      <c r="P184" s="279">
        <v>15.6</v>
      </c>
      <c r="Q184" s="279">
        <v>38</v>
      </c>
      <c r="R184" s="280" t="s">
        <v>188</v>
      </c>
      <c r="S184" s="281">
        <v>15.555555555555555</v>
      </c>
      <c r="T184" s="281">
        <v>37.777777777777779</v>
      </c>
      <c r="U184" s="280" t="s">
        <v>188</v>
      </c>
      <c r="V184" s="281">
        <v>21.111111111111111</v>
      </c>
      <c r="W184" s="281">
        <v>46.111111111111114</v>
      </c>
      <c r="X184" s="280" t="s">
        <v>188</v>
      </c>
      <c r="Y184" s="281">
        <v>15.555555555555555</v>
      </c>
      <c r="Z184" s="281">
        <v>35</v>
      </c>
      <c r="AA184" s="280" t="s">
        <v>188</v>
      </c>
      <c r="AB184" s="281">
        <v>15.555555555555555</v>
      </c>
      <c r="AC184" s="281">
        <v>35</v>
      </c>
    </row>
    <row r="185" spans="1:29" s="226" customFormat="1" x14ac:dyDescent="0.25">
      <c r="A185" s="283"/>
      <c r="B185" s="284"/>
      <c r="C185" s="283"/>
      <c r="D185" s="285"/>
      <c r="E185" s="285"/>
      <c r="F185" s="286"/>
      <c r="G185" s="286"/>
      <c r="H185" s="287"/>
      <c r="O185" s="288"/>
    </row>
    <row r="187" spans="1:29" ht="31.5" x14ac:dyDescent="0.25">
      <c r="A187" s="83" t="s">
        <v>189</v>
      </c>
      <c r="B187" s="84"/>
      <c r="C187" s="84"/>
      <c r="D187" s="84"/>
      <c r="E187" s="84"/>
      <c r="F187" s="84"/>
      <c r="G187" s="84"/>
      <c r="H187" s="84"/>
      <c r="I187" s="84"/>
      <c r="J187" s="84"/>
      <c r="K187" s="84"/>
      <c r="L187" s="85"/>
    </row>
    <row r="208" spans="16:16" x14ac:dyDescent="0.25">
      <c r="P208" s="86" t="s">
        <v>190</v>
      </c>
    </row>
    <row r="217" spans="1:38" x14ac:dyDescent="0.25">
      <c r="AE217" s="289" t="s">
        <v>191</v>
      </c>
    </row>
    <row r="219" spans="1:38" x14ac:dyDescent="0.25">
      <c r="A219" s="290"/>
      <c r="B219" s="290"/>
      <c r="C219" s="290"/>
      <c r="D219" s="290"/>
      <c r="E219" s="290"/>
      <c r="F219" s="290"/>
      <c r="G219" s="290"/>
      <c r="H219" s="290"/>
      <c r="I219" s="290"/>
      <c r="J219" s="290"/>
      <c r="K219" s="290"/>
      <c r="L219" s="290"/>
      <c r="M219" s="290"/>
      <c r="O219" s="163" t="s">
        <v>101</v>
      </c>
      <c r="P219" s="163"/>
      <c r="Q219" s="163"/>
      <c r="R219" s="164" t="s">
        <v>102</v>
      </c>
      <c r="S219" s="164"/>
      <c r="T219" s="164"/>
      <c r="X219" s="164" t="s">
        <v>102</v>
      </c>
      <c r="Y219" s="164"/>
      <c r="Z219" s="164"/>
      <c r="AA219" s="164" t="s">
        <v>102</v>
      </c>
      <c r="AB219" s="164"/>
      <c r="AC219" s="164"/>
    </row>
    <row r="220" spans="1:38" ht="23.25" x14ac:dyDescent="0.35">
      <c r="A220" s="291"/>
      <c r="B220" s="292"/>
      <c r="C220" s="293" t="s">
        <v>192</v>
      </c>
      <c r="D220" s="294" t="str">
        <f>O220</f>
        <v>DX Clg Capacity - f(WBrm, Toa)</v>
      </c>
      <c r="E220" s="294"/>
      <c r="F220" s="294"/>
      <c r="G220" s="295"/>
      <c r="H220" s="268" t="s">
        <v>164</v>
      </c>
      <c r="I220" s="268" t="s">
        <v>165</v>
      </c>
      <c r="J220" s="268" t="s">
        <v>97</v>
      </c>
      <c r="K220" s="268" t="s">
        <v>96</v>
      </c>
      <c r="L220" s="268" t="s">
        <v>94</v>
      </c>
      <c r="M220" s="268" t="s">
        <v>95</v>
      </c>
      <c r="O220" s="165" t="s">
        <v>167</v>
      </c>
      <c r="P220" s="166"/>
      <c r="Q220" s="167"/>
      <c r="R220" s="296" t="s">
        <v>167</v>
      </c>
      <c r="S220" s="297"/>
      <c r="T220" s="298"/>
      <c r="U220" s="296" t="s">
        <v>193</v>
      </c>
      <c r="V220" s="169"/>
      <c r="W220" s="170"/>
      <c r="X220" s="296" t="s">
        <v>194</v>
      </c>
      <c r="Y220" s="297"/>
      <c r="Z220" s="298"/>
      <c r="AA220" s="296" t="s">
        <v>167</v>
      </c>
      <c r="AB220" s="297"/>
      <c r="AC220" s="298"/>
      <c r="AD220" s="296" t="s">
        <v>195</v>
      </c>
      <c r="AE220" s="297"/>
      <c r="AF220" s="298"/>
      <c r="AG220" s="296" t="s">
        <v>196</v>
      </c>
      <c r="AH220" s="169"/>
      <c r="AI220" s="170"/>
      <c r="AJ220" s="296" t="s">
        <v>167</v>
      </c>
      <c r="AK220" s="297"/>
      <c r="AL220" s="298"/>
    </row>
    <row r="221" spans="1:38" ht="30" x14ac:dyDescent="0.25">
      <c r="A221" s="210" t="str">
        <f>O221</f>
        <v>WBrm (X)</v>
      </c>
      <c r="B221" s="210" t="s">
        <v>88</v>
      </c>
      <c r="C221" s="210" t="str">
        <f>P221</f>
        <v>Toa (Y)</v>
      </c>
      <c r="D221" s="210" t="s">
        <v>170</v>
      </c>
      <c r="E221" s="210" t="s">
        <v>171</v>
      </c>
      <c r="F221" s="299"/>
      <c r="G221" s="210" t="s">
        <v>173</v>
      </c>
      <c r="H221" s="251">
        <f>I236</f>
        <v>-2.1000000000000001E-4</v>
      </c>
      <c r="I221" s="251">
        <f>I235</f>
        <v>-8.0000000000000007E-5</v>
      </c>
      <c r="J221" s="251">
        <f>I234</f>
        <v>3.3300000000000001E-3</v>
      </c>
      <c r="K221" s="251">
        <f>I233</f>
        <v>-4.2000000000000002E-4</v>
      </c>
      <c r="L221" s="251">
        <f>I232</f>
        <v>4.4260000000000001E-2</v>
      </c>
      <c r="M221" s="251">
        <f>I231</f>
        <v>0.42415000000000003</v>
      </c>
      <c r="O221" s="172" t="s">
        <v>197</v>
      </c>
      <c r="P221" s="300" t="s">
        <v>175</v>
      </c>
      <c r="Q221" s="172" t="s">
        <v>198</v>
      </c>
      <c r="R221" s="301" t="s">
        <v>197</v>
      </c>
      <c r="S221" s="302" t="s">
        <v>175</v>
      </c>
      <c r="T221" s="174" t="s">
        <v>198</v>
      </c>
      <c r="U221" s="174" t="s">
        <v>197</v>
      </c>
      <c r="V221" s="302" t="s">
        <v>175</v>
      </c>
      <c r="W221" s="174" t="s">
        <v>199</v>
      </c>
      <c r="X221" s="301" t="s">
        <v>200</v>
      </c>
      <c r="Y221" s="302" t="s">
        <v>157</v>
      </c>
      <c r="Z221" s="174" t="s">
        <v>198</v>
      </c>
      <c r="AA221" s="301" t="s">
        <v>197</v>
      </c>
      <c r="AB221" s="302" t="s">
        <v>175</v>
      </c>
      <c r="AC221" s="174" t="s">
        <v>198</v>
      </c>
      <c r="AD221" s="174" t="s">
        <v>197</v>
      </c>
      <c r="AE221" s="302" t="s">
        <v>175</v>
      </c>
      <c r="AF221" s="174" t="s">
        <v>199</v>
      </c>
      <c r="AG221" s="174" t="s">
        <v>197</v>
      </c>
      <c r="AH221" s="302" t="s">
        <v>175</v>
      </c>
      <c r="AI221" s="174" t="s">
        <v>199</v>
      </c>
      <c r="AJ221" s="301" t="s">
        <v>197</v>
      </c>
      <c r="AK221" s="302" t="s">
        <v>175</v>
      </c>
      <c r="AL221" s="174" t="s">
        <v>198</v>
      </c>
    </row>
    <row r="222" spans="1:38" x14ac:dyDescent="0.25">
      <c r="A222" s="260">
        <f>B239</f>
        <v>15.6</v>
      </c>
      <c r="B222" s="112">
        <f t="shared" ref="B222:B236" si="18">A222^2</f>
        <v>243.35999999999999</v>
      </c>
      <c r="C222" s="260">
        <f>B240</f>
        <v>15.6</v>
      </c>
      <c r="D222" s="112">
        <v>241.97530864197529</v>
      </c>
      <c r="E222" s="195">
        <f t="shared" ref="E222:E236" si="19">A222*C222</f>
        <v>243.35999999999999</v>
      </c>
      <c r="F222" s="303"/>
      <c r="G222" s="261">
        <f>$M221+$L221*A222+$K221*B222+$J221*C222+$I221*D222+$H221*E222</f>
        <v>0.99387917530864212</v>
      </c>
      <c r="H222" s="304"/>
      <c r="I222" s="304"/>
      <c r="J222" s="304"/>
      <c r="K222" s="304"/>
      <c r="L222" s="304"/>
      <c r="M222" s="304"/>
      <c r="O222" s="221" t="s">
        <v>124</v>
      </c>
      <c r="P222" s="305">
        <v>0.42415000000000003</v>
      </c>
      <c r="Q222" s="183"/>
      <c r="R222" s="306" t="s">
        <v>124</v>
      </c>
      <c r="S222" s="307">
        <v>0.390372</v>
      </c>
      <c r="T222" s="308"/>
      <c r="U222" s="309" t="s">
        <v>124</v>
      </c>
      <c r="V222" s="310">
        <v>1.0679000000000001</v>
      </c>
      <c r="W222" s="311"/>
      <c r="X222" s="312" t="s">
        <v>124</v>
      </c>
      <c r="Y222" s="307">
        <v>1.0693794000000001</v>
      </c>
      <c r="Z222" s="308"/>
      <c r="AA222" s="306" t="s">
        <v>124</v>
      </c>
      <c r="AB222" s="307">
        <v>0.42415000000000003</v>
      </c>
      <c r="AC222" s="308"/>
      <c r="AD222" s="309" t="s">
        <v>124</v>
      </c>
      <c r="AE222" s="307">
        <v>1.0679000000000001</v>
      </c>
      <c r="AF222" s="311"/>
      <c r="AG222" s="309" t="s">
        <v>124</v>
      </c>
      <c r="AH222" s="310">
        <v>0.59677974099999997</v>
      </c>
      <c r="AI222" s="311"/>
      <c r="AJ222" s="306" t="s">
        <v>124</v>
      </c>
      <c r="AK222" s="307">
        <v>0.94258779299999995</v>
      </c>
      <c r="AL222" s="308"/>
    </row>
    <row r="223" spans="1:38" x14ac:dyDescent="0.25">
      <c r="A223" s="111">
        <f>(A224+A222)/2</f>
        <v>19.75</v>
      </c>
      <c r="B223" s="112">
        <f t="shared" si="18"/>
        <v>390.0625</v>
      </c>
      <c r="C223" s="111">
        <f>C222</f>
        <v>15.6</v>
      </c>
      <c r="D223" s="112">
        <v>241.97530864197529</v>
      </c>
      <c r="E223" s="195">
        <f t="shared" si="19"/>
        <v>308.09999999999997</v>
      </c>
      <c r="F223" s="303"/>
      <c r="G223" s="261">
        <f>$M221+$L221*A223+$K221*B223+$J221*C223+$I221*D223+$H221*E223</f>
        <v>1.102347725308642</v>
      </c>
      <c r="H223" s="304"/>
      <c r="I223" s="304"/>
      <c r="J223" s="304"/>
      <c r="K223" s="304"/>
      <c r="L223" s="304"/>
      <c r="M223" s="304"/>
      <c r="O223" s="221" t="s">
        <v>125</v>
      </c>
      <c r="P223" s="305">
        <v>4.4260000000000001E-2</v>
      </c>
      <c r="Q223" s="183"/>
      <c r="R223" s="306" t="s">
        <v>125</v>
      </c>
      <c r="S223" s="307">
        <v>4.6754999999999998E-2</v>
      </c>
      <c r="T223" s="313"/>
      <c r="U223" s="309" t="s">
        <v>125</v>
      </c>
      <c r="V223" s="310" t="s">
        <v>201</v>
      </c>
      <c r="W223" s="313"/>
      <c r="X223" s="312" t="s">
        <v>125</v>
      </c>
      <c r="Y223" s="307">
        <v>-1.4951000000000001E-3</v>
      </c>
      <c r="Z223" s="313"/>
      <c r="AA223" s="306" t="s">
        <v>125</v>
      </c>
      <c r="AB223" s="307">
        <v>4.4260000000000001E-2</v>
      </c>
      <c r="AC223" s="313"/>
      <c r="AD223" s="309" t="s">
        <v>125</v>
      </c>
      <c r="AE223" s="307" t="s">
        <v>201</v>
      </c>
      <c r="AF223" s="313"/>
      <c r="AG223" s="309" t="s">
        <v>125</v>
      </c>
      <c r="AH223" s="310">
        <v>3.4216637000000001E-2</v>
      </c>
      <c r="AI223" s="313"/>
      <c r="AJ223" s="306" t="s">
        <v>125</v>
      </c>
      <c r="AK223" s="307">
        <v>9.5433470000000006E-3</v>
      </c>
      <c r="AL223" s="313"/>
    </row>
    <row r="224" spans="1:38" x14ac:dyDescent="0.25">
      <c r="A224" s="260">
        <f>C239</f>
        <v>23.9</v>
      </c>
      <c r="B224" s="112">
        <f t="shared" si="18"/>
        <v>571.20999999999992</v>
      </c>
      <c r="C224" s="111">
        <f>C223</f>
        <v>15.6</v>
      </c>
      <c r="D224" s="112">
        <f t="shared" ref="D224:D235" si="20">C224^2</f>
        <v>243.35999999999999</v>
      </c>
      <c r="E224" s="195">
        <f t="shared" si="19"/>
        <v>372.84</v>
      </c>
      <c r="F224" s="303"/>
      <c r="G224" s="261">
        <f>$M221+$L221*A224+$K221*B224+$J221*C224+$I221*D224+$H221*E224</f>
        <v>1.1962386000000003</v>
      </c>
      <c r="H224" s="304"/>
      <c r="I224" s="304"/>
      <c r="J224" s="304"/>
      <c r="K224" s="304"/>
      <c r="L224" s="304"/>
      <c r="M224" s="304"/>
      <c r="O224" s="221" t="s">
        <v>126</v>
      </c>
      <c r="P224" s="305">
        <v>-4.2000000000000002E-4</v>
      </c>
      <c r="Q224" s="183"/>
      <c r="R224" s="306" t="s">
        <v>126</v>
      </c>
      <c r="S224" s="314">
        <v>-4.5600000000000003E-4</v>
      </c>
      <c r="T224" s="313"/>
      <c r="U224" s="309" t="s">
        <v>126</v>
      </c>
      <c r="V224" s="315">
        <v>1.97E-3</v>
      </c>
      <c r="W224" s="313"/>
      <c r="X224" s="312" t="s">
        <v>126</v>
      </c>
      <c r="Y224" s="314">
        <v>2.5600000000000001E-6</v>
      </c>
      <c r="Z224" s="313"/>
      <c r="AA224" s="306" t="s">
        <v>126</v>
      </c>
      <c r="AB224" s="314">
        <v>-4.2000000000000002E-4</v>
      </c>
      <c r="AC224" s="313"/>
      <c r="AD224" s="309" t="s">
        <v>126</v>
      </c>
      <c r="AE224" s="314">
        <v>1.97E-3</v>
      </c>
      <c r="AF224" s="313"/>
      <c r="AG224" s="309" t="s">
        <v>126</v>
      </c>
      <c r="AH224" s="315">
        <v>1.13924E-4</v>
      </c>
      <c r="AI224" s="313"/>
      <c r="AJ224" s="306" t="s">
        <v>126</v>
      </c>
      <c r="AK224" s="314">
        <v>6.8376999999999999E-4</v>
      </c>
      <c r="AL224" s="313"/>
    </row>
    <row r="225" spans="1:69" x14ac:dyDescent="0.25">
      <c r="A225" s="111">
        <f t="shared" ref="A225:A236" si="21">A222</f>
        <v>15.6</v>
      </c>
      <c r="B225" s="112">
        <f t="shared" si="18"/>
        <v>243.35999999999999</v>
      </c>
      <c r="C225" s="260">
        <f>C222+0.25*(C240-B240)</f>
        <v>23.225000000000001</v>
      </c>
      <c r="D225" s="112">
        <f t="shared" si="20"/>
        <v>539.4006250000001</v>
      </c>
      <c r="E225" s="195">
        <f t="shared" si="19"/>
        <v>362.31</v>
      </c>
      <c r="F225" s="303"/>
      <c r="G225" s="261">
        <f>$M221+$L221*A225+$K221*B225+$J221*C225+$I221*D225+$H221*E225</f>
        <v>0.97049690000000011</v>
      </c>
      <c r="H225" s="304"/>
      <c r="I225" s="304"/>
      <c r="J225" s="304"/>
      <c r="K225" s="304"/>
      <c r="L225" s="304"/>
      <c r="M225" s="304"/>
      <c r="O225" s="221" t="s">
        <v>127</v>
      </c>
      <c r="P225" s="305">
        <v>3.3300000000000001E-3</v>
      </c>
      <c r="Q225" s="183"/>
      <c r="R225" s="306" t="s">
        <v>127</v>
      </c>
      <c r="S225" s="307">
        <v>3.4499999999999999E-3</v>
      </c>
      <c r="T225" s="313"/>
      <c r="U225" s="309" t="s">
        <v>127</v>
      </c>
      <c r="V225" s="310" t="s">
        <v>202</v>
      </c>
      <c r="W225" s="313"/>
      <c r="X225" s="312" t="s">
        <v>127</v>
      </c>
      <c r="Y225" s="307">
        <v>-0.1151104</v>
      </c>
      <c r="Z225" s="313"/>
      <c r="AA225" s="306" t="s">
        <v>127</v>
      </c>
      <c r="AB225" s="307">
        <v>3.3300000000000001E-3</v>
      </c>
      <c r="AC225" s="313"/>
      <c r="AD225" s="309" t="s">
        <v>127</v>
      </c>
      <c r="AE225" s="307" t="s">
        <v>202</v>
      </c>
      <c r="AF225" s="313"/>
      <c r="AG225" s="309" t="s">
        <v>127</v>
      </c>
      <c r="AH225" s="310">
        <v>-3.75859E-3</v>
      </c>
      <c r="AI225" s="313"/>
      <c r="AJ225" s="306" t="s">
        <v>127</v>
      </c>
      <c r="AK225" s="307">
        <v>-1.1042676E-2</v>
      </c>
      <c r="AL225" s="313"/>
    </row>
    <row r="226" spans="1:69" x14ac:dyDescent="0.25">
      <c r="A226" s="111">
        <f t="shared" si="21"/>
        <v>19.75</v>
      </c>
      <c r="B226" s="112">
        <f t="shared" si="18"/>
        <v>390.0625</v>
      </c>
      <c r="C226" s="111">
        <f>C225</f>
        <v>23.225000000000001</v>
      </c>
      <c r="D226" s="112">
        <f t="shared" si="20"/>
        <v>539.4006250000001</v>
      </c>
      <c r="E226" s="195">
        <f t="shared" si="19"/>
        <v>458.69375000000002</v>
      </c>
      <c r="F226" s="303"/>
      <c r="G226" s="261">
        <f>$M221+$L221*A226+$K221*B226+$J221*C226+$I221*D226+$H221*E226</f>
        <v>1.0723202624999999</v>
      </c>
      <c r="H226" s="304"/>
      <c r="I226" s="304"/>
      <c r="J226" s="304"/>
      <c r="K226" s="304"/>
      <c r="L226" s="304"/>
      <c r="M226" s="304"/>
      <c r="O226" s="221" t="s">
        <v>179</v>
      </c>
      <c r="P226" s="305">
        <v>-8.0000000000000007E-5</v>
      </c>
      <c r="Q226" s="183"/>
      <c r="R226" s="306" t="s">
        <v>179</v>
      </c>
      <c r="S226" s="314">
        <v>-7.8999999999999996E-5</v>
      </c>
      <c r="T226" s="313"/>
      <c r="U226" s="309" t="s">
        <v>179</v>
      </c>
      <c r="V226" s="315" t="s">
        <v>203</v>
      </c>
      <c r="W226" s="313"/>
      <c r="X226" s="312" t="s">
        <v>179</v>
      </c>
      <c r="Y226" s="314">
        <v>5.11169E-2</v>
      </c>
      <c r="Z226" s="313"/>
      <c r="AA226" s="306" t="s">
        <v>179</v>
      </c>
      <c r="AB226" s="314">
        <v>-8.0000000000000007E-5</v>
      </c>
      <c r="AC226" s="313"/>
      <c r="AD226" s="309" t="s">
        <v>179</v>
      </c>
      <c r="AE226" s="314" t="s">
        <v>203</v>
      </c>
      <c r="AF226" s="313"/>
      <c r="AG226" s="309" t="s">
        <v>179</v>
      </c>
      <c r="AH226" s="315">
        <v>-9.17495E-5</v>
      </c>
      <c r="AI226" s="313"/>
      <c r="AJ226" s="306" t="s">
        <v>179</v>
      </c>
      <c r="AK226" s="314">
        <v>5.2490000000000001E-6</v>
      </c>
      <c r="AL226" s="313"/>
      <c r="AM226" s="316"/>
    </row>
    <row r="227" spans="1:69" x14ac:dyDescent="0.25">
      <c r="A227" s="111">
        <f t="shared" si="21"/>
        <v>23.9</v>
      </c>
      <c r="B227" s="112">
        <f t="shared" si="18"/>
        <v>571.20999999999992</v>
      </c>
      <c r="C227" s="111">
        <f>C226</f>
        <v>23.225000000000001</v>
      </c>
      <c r="D227" s="112">
        <f t="shared" si="20"/>
        <v>539.4006250000001</v>
      </c>
      <c r="E227" s="195">
        <f t="shared" si="19"/>
        <v>555.07749999999999</v>
      </c>
      <c r="F227" s="303"/>
      <c r="G227" s="261">
        <f>$M221+$L221*A227+$K221*B227+$J221*C227+$I221*D227+$H221*E227</f>
        <v>1.1596767250000002</v>
      </c>
      <c r="H227" s="304"/>
      <c r="I227" s="304"/>
      <c r="J227" s="304"/>
      <c r="K227" s="304"/>
      <c r="L227" s="304"/>
      <c r="M227" s="304"/>
      <c r="O227" s="221" t="s">
        <v>180</v>
      </c>
      <c r="P227" s="305">
        <v>-2.1000000000000001E-4</v>
      </c>
      <c r="Q227" s="183"/>
      <c r="R227" s="306" t="s">
        <v>180</v>
      </c>
      <c r="S227" s="314">
        <v>-2.1699999999999999E-4</v>
      </c>
      <c r="T227" s="313"/>
      <c r="U227" s="309" t="s">
        <v>180</v>
      </c>
      <c r="V227" s="315" t="s">
        <v>204</v>
      </c>
      <c r="W227" s="313"/>
      <c r="X227" s="312" t="s">
        <v>180</v>
      </c>
      <c r="Y227" s="314">
        <v>-4.3689999999999999E-4</v>
      </c>
      <c r="Z227" s="313"/>
      <c r="AA227" s="306" t="s">
        <v>180</v>
      </c>
      <c r="AB227" s="314">
        <v>-2.1000000000000001E-4</v>
      </c>
      <c r="AC227" s="313"/>
      <c r="AD227" s="309" t="s">
        <v>180</v>
      </c>
      <c r="AE227" s="314" t="s">
        <v>204</v>
      </c>
      <c r="AF227" s="313"/>
      <c r="AG227" s="309" t="s">
        <v>180</v>
      </c>
      <c r="AH227" s="315">
        <v>-8.9837299999999995E-5</v>
      </c>
      <c r="AI227" s="313"/>
      <c r="AJ227" s="306" t="s">
        <v>180</v>
      </c>
      <c r="AK227" s="314">
        <v>-9.7200000000000001E-6</v>
      </c>
      <c r="AL227" s="313"/>
      <c r="AM227" s="316"/>
    </row>
    <row r="228" spans="1:69" x14ac:dyDescent="0.25">
      <c r="A228" s="111">
        <f t="shared" si="21"/>
        <v>15.6</v>
      </c>
      <c r="B228" s="112">
        <f t="shared" si="18"/>
        <v>243.35999999999999</v>
      </c>
      <c r="C228" s="260">
        <f>C225+0.25*(C240-B240)</f>
        <v>30.85</v>
      </c>
      <c r="D228" s="112">
        <f t="shared" si="20"/>
        <v>951.72250000000008</v>
      </c>
      <c r="E228" s="195">
        <f t="shared" si="19"/>
        <v>481.26</v>
      </c>
      <c r="F228" s="303"/>
      <c r="G228" s="261">
        <f>$M221+$L221*A228+$K221*B228+$J221*C228+$I221*D228+$H221*E228</f>
        <v>0.93792290000000023</v>
      </c>
      <c r="H228" s="317"/>
      <c r="I228" s="317"/>
      <c r="J228" s="317"/>
      <c r="K228" s="317"/>
      <c r="L228" s="317"/>
      <c r="M228" s="317"/>
      <c r="O228" s="276"/>
      <c r="P228" s="257" t="s">
        <v>183</v>
      </c>
      <c r="Q228" s="257" t="s">
        <v>184</v>
      </c>
      <c r="R228" s="318"/>
      <c r="S228" s="275" t="s">
        <v>183</v>
      </c>
      <c r="T228" s="275" t="s">
        <v>184</v>
      </c>
      <c r="U228" s="274"/>
      <c r="V228" s="275" t="s">
        <v>183</v>
      </c>
      <c r="W228" s="275" t="s">
        <v>184</v>
      </c>
      <c r="X228" s="318"/>
      <c r="Y228" s="275" t="s">
        <v>183</v>
      </c>
      <c r="Z228" s="275" t="s">
        <v>184</v>
      </c>
      <c r="AA228" s="318"/>
      <c r="AB228" s="275" t="s">
        <v>183</v>
      </c>
      <c r="AC228" s="275" t="s">
        <v>184</v>
      </c>
      <c r="AD228" s="274"/>
      <c r="AE228" s="275" t="s">
        <v>183</v>
      </c>
      <c r="AF228" s="275" t="s">
        <v>184</v>
      </c>
      <c r="AG228" s="274"/>
      <c r="AH228" s="275" t="s">
        <v>183</v>
      </c>
      <c r="AI228" s="275" t="s">
        <v>184</v>
      </c>
      <c r="AJ228" s="318"/>
      <c r="AK228" s="275" t="s">
        <v>183</v>
      </c>
      <c r="AL228" s="275" t="s">
        <v>184</v>
      </c>
    </row>
    <row r="229" spans="1:69" x14ac:dyDescent="0.25">
      <c r="A229" s="111">
        <f t="shared" si="21"/>
        <v>19.75</v>
      </c>
      <c r="B229" s="112">
        <f t="shared" si="18"/>
        <v>390.0625</v>
      </c>
      <c r="C229" s="111">
        <f>C228</f>
        <v>30.85</v>
      </c>
      <c r="D229" s="112">
        <f t="shared" si="20"/>
        <v>951.72250000000008</v>
      </c>
      <c r="E229" s="195">
        <f t="shared" si="19"/>
        <v>609.28750000000002</v>
      </c>
      <c r="F229" s="303"/>
      <c r="G229" s="261">
        <f>$M221+$L221*A229+$K221*B229+$J221*C229+$I221*D229+$H221*E229</f>
        <v>1.033101075</v>
      </c>
      <c r="H229" s="265" t="s">
        <v>93</v>
      </c>
      <c r="I229" s="266"/>
      <c r="K229" s="267" t="s">
        <v>205</v>
      </c>
      <c r="L229" s="317"/>
      <c r="M229" s="317"/>
      <c r="O229" s="276" t="s">
        <v>186</v>
      </c>
      <c r="P229" s="319">
        <v>15.6</v>
      </c>
      <c r="Q229" s="319">
        <v>23.9</v>
      </c>
      <c r="R229" s="318" t="s">
        <v>186</v>
      </c>
      <c r="S229" s="281">
        <v>17.777777777777779</v>
      </c>
      <c r="T229" s="281">
        <v>21.111111111111111</v>
      </c>
      <c r="U229" s="280" t="s">
        <v>186</v>
      </c>
      <c r="V229" s="281">
        <v>5</v>
      </c>
      <c r="W229" s="281">
        <v>27</v>
      </c>
      <c r="X229" s="320" t="s">
        <v>186</v>
      </c>
      <c r="Y229" s="281">
        <v>8</v>
      </c>
      <c r="Z229" s="281">
        <v>175</v>
      </c>
      <c r="AA229" s="318" t="s">
        <v>186</v>
      </c>
      <c r="AB229" s="281">
        <v>15.6</v>
      </c>
      <c r="AC229" s="281">
        <v>23.9</v>
      </c>
      <c r="AD229" s="280" t="s">
        <v>186</v>
      </c>
      <c r="AE229" s="281">
        <v>5</v>
      </c>
      <c r="AF229" s="281">
        <v>27</v>
      </c>
      <c r="AG229" s="280" t="s">
        <v>186</v>
      </c>
      <c r="AH229" s="281">
        <v>-20</v>
      </c>
      <c r="AI229" s="281">
        <v>40</v>
      </c>
      <c r="AJ229" s="318" t="s">
        <v>186</v>
      </c>
      <c r="AK229" s="281">
        <v>12.776999999999999</v>
      </c>
      <c r="AL229" s="281">
        <v>23.888000000000002</v>
      </c>
    </row>
    <row r="230" spans="1:69" x14ac:dyDescent="0.25">
      <c r="A230" s="111">
        <f t="shared" si="21"/>
        <v>23.9</v>
      </c>
      <c r="B230" s="112">
        <f t="shared" si="18"/>
        <v>571.20999999999992</v>
      </c>
      <c r="C230" s="111">
        <f>C229</f>
        <v>30.85</v>
      </c>
      <c r="D230" s="112">
        <f t="shared" si="20"/>
        <v>951.72250000000008</v>
      </c>
      <c r="E230" s="195">
        <f t="shared" si="19"/>
        <v>737.31499999999994</v>
      </c>
      <c r="F230" s="303"/>
      <c r="G230" s="261">
        <f>$M221+$L221*A230+$K221*B230+$J221*C230+$I221*D230+$H221*E230</f>
        <v>1.1138123500000003</v>
      </c>
      <c r="H230" s="267"/>
      <c r="I230" s="266" t="s">
        <v>206</v>
      </c>
      <c r="K230" s="317" t="str">
        <f>$A$221&amp;" = "&amp;ROUND(A222,1)</f>
        <v>WBrm (X) = 15.6</v>
      </c>
      <c r="L230" s="317"/>
      <c r="M230" s="317"/>
      <c r="O230" s="276" t="s">
        <v>188</v>
      </c>
      <c r="P230" s="319">
        <v>15.6</v>
      </c>
      <c r="Q230" s="319">
        <v>46.1</v>
      </c>
      <c r="R230" s="318" t="s">
        <v>188</v>
      </c>
      <c r="S230" s="281">
        <v>15.555555555555555</v>
      </c>
      <c r="T230" s="281">
        <v>37.777777777777779</v>
      </c>
      <c r="U230" s="280" t="s">
        <v>188</v>
      </c>
      <c r="V230" s="281">
        <v>15.6</v>
      </c>
      <c r="W230" s="281">
        <v>40</v>
      </c>
      <c r="X230" s="320" t="s">
        <v>188</v>
      </c>
      <c r="Y230" s="281">
        <v>0.5</v>
      </c>
      <c r="Z230" s="281">
        <v>1.5</v>
      </c>
      <c r="AA230" s="318" t="s">
        <v>188</v>
      </c>
      <c r="AB230" s="281">
        <v>15.6</v>
      </c>
      <c r="AC230" s="281">
        <v>46.1</v>
      </c>
      <c r="AD230" s="280" t="s">
        <v>188</v>
      </c>
      <c r="AE230" s="281">
        <v>15.6</v>
      </c>
      <c r="AF230" s="281">
        <v>40</v>
      </c>
      <c r="AG230" s="280" t="s">
        <v>188</v>
      </c>
      <c r="AH230" s="281">
        <f>AH229</f>
        <v>-20</v>
      </c>
      <c r="AI230" s="281">
        <f>AI229</f>
        <v>40</v>
      </c>
      <c r="AJ230" s="318" t="s">
        <v>188</v>
      </c>
      <c r="AK230" s="281">
        <v>15.555555555555555</v>
      </c>
      <c r="AL230" s="281">
        <v>46.110999999999997</v>
      </c>
    </row>
    <row r="231" spans="1:69" x14ac:dyDescent="0.25">
      <c r="A231" s="111">
        <f t="shared" si="21"/>
        <v>15.6</v>
      </c>
      <c r="B231" s="112">
        <f t="shared" si="18"/>
        <v>243.35999999999999</v>
      </c>
      <c r="C231" s="260">
        <f>C228+0.25*(C240-B240)</f>
        <v>38.475000000000001</v>
      </c>
      <c r="D231" s="112">
        <f t="shared" si="20"/>
        <v>1480.3256250000002</v>
      </c>
      <c r="E231" s="195">
        <f t="shared" si="19"/>
        <v>600.21</v>
      </c>
      <c r="F231" s="303"/>
      <c r="G231" s="261">
        <f>$M221+$L221*A231+$K221*B231+$J221*C231+$I221*D231+$H221*E231</f>
        <v>0.89604640000000002</v>
      </c>
      <c r="H231" s="268" t="s">
        <v>124</v>
      </c>
      <c r="I231" s="269">
        <f t="shared" ref="I231:I236" si="22">P222</f>
        <v>0.42415000000000003</v>
      </c>
      <c r="K231" s="317" t="str">
        <f>$A$221&amp;" = "&amp;ROUND(A223,1)</f>
        <v>WBrm (X) = 19.8</v>
      </c>
      <c r="L231" s="317"/>
      <c r="M231" s="317"/>
      <c r="V231" s="156">
        <f>V229*9/5+32</f>
        <v>41</v>
      </c>
      <c r="W231" s="272">
        <f>W229*9/5+32</f>
        <v>80.599999999999994</v>
      </c>
      <c r="AE231" s="156">
        <f>AE229*9/5+32</f>
        <v>41</v>
      </c>
      <c r="AF231" s="156">
        <f>AF229*9/5+32</f>
        <v>80.599999999999994</v>
      </c>
      <c r="AH231" s="156">
        <f>AH229*9/5+32</f>
        <v>-4</v>
      </c>
      <c r="AI231" s="156">
        <f>AI229*9/5+32</f>
        <v>104</v>
      </c>
      <c r="AK231" s="156">
        <f>AK229*9/5+32</f>
        <v>54.998599999999996</v>
      </c>
      <c r="AL231" s="156">
        <f>AL229*9/5+32</f>
        <v>74.998400000000004</v>
      </c>
    </row>
    <row r="232" spans="1:69" ht="15.75" customHeight="1" x14ac:dyDescent="0.25">
      <c r="A232" s="111">
        <f t="shared" si="21"/>
        <v>19.75</v>
      </c>
      <c r="B232" s="112">
        <f t="shared" si="18"/>
        <v>390.0625</v>
      </c>
      <c r="C232" s="111">
        <f>C231</f>
        <v>38.475000000000001</v>
      </c>
      <c r="D232" s="112">
        <f t="shared" si="20"/>
        <v>1480.3256250000002</v>
      </c>
      <c r="E232" s="195">
        <f t="shared" si="19"/>
        <v>759.88125000000002</v>
      </c>
      <c r="F232" s="303"/>
      <c r="G232" s="261">
        <f>$M221+$L221*A232+$K221*B232+$J221*C232+$I221*D232+$H221*E232</f>
        <v>0.98457938749999985</v>
      </c>
      <c r="H232" s="268" t="s">
        <v>125</v>
      </c>
      <c r="I232" s="269">
        <f t="shared" si="22"/>
        <v>4.4260000000000001E-2</v>
      </c>
      <c r="K232" s="317" t="str">
        <f>$A$221&amp;" = "&amp;ROUND(A224,1)</f>
        <v>WBrm (X) = 23.9</v>
      </c>
      <c r="L232" s="317"/>
      <c r="M232" s="317"/>
      <c r="V232" s="156">
        <f>V230*9/5+32</f>
        <v>60.08</v>
      </c>
      <c r="W232" s="272">
        <f>W230*9/5+32</f>
        <v>104</v>
      </c>
      <c r="AE232" s="156">
        <f>AE230*9/5+32</f>
        <v>60.08</v>
      </c>
      <c r="AF232" s="156">
        <f>AF230*9/5+32</f>
        <v>104</v>
      </c>
      <c r="AH232" s="156">
        <f>AH230*9/5+32</f>
        <v>-4</v>
      </c>
      <c r="AI232" s="156">
        <f>AI230*9/5+32</f>
        <v>104</v>
      </c>
      <c r="AK232" s="156">
        <f>AK230*9/5+32</f>
        <v>60</v>
      </c>
      <c r="AL232" s="156">
        <f>AL230*9/5+32</f>
        <v>114.99979999999999</v>
      </c>
    </row>
    <row r="233" spans="1:69" x14ac:dyDescent="0.25">
      <c r="A233" s="111">
        <f t="shared" si="21"/>
        <v>23.9</v>
      </c>
      <c r="B233" s="112">
        <f t="shared" si="18"/>
        <v>571.20999999999992</v>
      </c>
      <c r="C233" s="111">
        <f>C232</f>
        <v>38.475000000000001</v>
      </c>
      <c r="D233" s="112">
        <f t="shared" si="20"/>
        <v>1480.3256250000002</v>
      </c>
      <c r="E233" s="195">
        <f t="shared" si="19"/>
        <v>919.55250000000001</v>
      </c>
      <c r="F233" s="303"/>
      <c r="G233" s="261">
        <f>$M221+$L221*A233+$K221*B233+$J221*C233+$I221*D233+$H221*E233</f>
        <v>1.0586454750000001</v>
      </c>
      <c r="H233" s="268" t="s">
        <v>126</v>
      </c>
      <c r="I233" s="269">
        <f t="shared" si="22"/>
        <v>-4.2000000000000002E-4</v>
      </c>
      <c r="K233" s="317"/>
      <c r="L233" s="317"/>
      <c r="M233" s="317"/>
      <c r="R233" s="164" t="s">
        <v>102</v>
      </c>
      <c r="S233" s="164"/>
      <c r="T233" s="164"/>
      <c r="AJ233" s="164" t="s">
        <v>102</v>
      </c>
      <c r="AK233" s="164"/>
      <c r="AL233" s="164"/>
      <c r="AS233" s="270"/>
      <c r="AT233" s="270"/>
      <c r="AU233" s="270"/>
    </row>
    <row r="234" spans="1:69" x14ac:dyDescent="0.25">
      <c r="A234" s="111">
        <f t="shared" si="21"/>
        <v>15.6</v>
      </c>
      <c r="B234" s="112">
        <f t="shared" si="18"/>
        <v>243.35999999999999</v>
      </c>
      <c r="C234" s="260">
        <f>C231+0.25*(C240-B240)</f>
        <v>46.1</v>
      </c>
      <c r="D234" s="112">
        <f t="shared" si="20"/>
        <v>2125.21</v>
      </c>
      <c r="E234" s="195">
        <f t="shared" si="19"/>
        <v>719.16</v>
      </c>
      <c r="F234" s="303"/>
      <c r="G234" s="261">
        <f>$M221+$L221*A234+$K221*B234+$J221*C234+$I221*D234+$H221*E234</f>
        <v>0.84486740000000005</v>
      </c>
      <c r="H234" s="268" t="s">
        <v>127</v>
      </c>
      <c r="I234" s="269">
        <f t="shared" si="22"/>
        <v>3.3300000000000001E-3</v>
      </c>
      <c r="K234" s="317"/>
      <c r="L234" s="317"/>
      <c r="M234" s="317"/>
      <c r="R234" s="296" t="s">
        <v>168</v>
      </c>
      <c r="S234" s="297"/>
      <c r="T234" s="298"/>
      <c r="U234" s="296" t="s">
        <v>207</v>
      </c>
      <c r="V234" s="169"/>
      <c r="W234" s="170"/>
      <c r="X234" s="296" t="s">
        <v>169</v>
      </c>
      <c r="Y234" s="297"/>
      <c r="Z234" s="298"/>
      <c r="AD234" s="296" t="s">
        <v>208</v>
      </c>
      <c r="AE234" s="297"/>
      <c r="AF234" s="298"/>
      <c r="AG234" s="296" t="s">
        <v>209</v>
      </c>
      <c r="AH234" s="169"/>
      <c r="AI234" s="170"/>
      <c r="AJ234" s="296" t="s">
        <v>168</v>
      </c>
      <c r="AK234" s="297"/>
      <c r="AL234" s="298"/>
    </row>
    <row r="235" spans="1:69" x14ac:dyDescent="0.25">
      <c r="A235" s="111">
        <f t="shared" si="21"/>
        <v>19.75</v>
      </c>
      <c r="B235" s="112">
        <f t="shared" si="18"/>
        <v>390.0625</v>
      </c>
      <c r="C235" s="111">
        <f>C234</f>
        <v>46.1</v>
      </c>
      <c r="D235" s="112">
        <f t="shared" si="20"/>
        <v>2125.21</v>
      </c>
      <c r="E235" s="195">
        <f t="shared" si="19"/>
        <v>910.47500000000002</v>
      </c>
      <c r="F235" s="303"/>
      <c r="G235" s="261">
        <f>$M221+$L221*A235+$K221*B235+$J221*C235+$I221*D235+$H221*E235</f>
        <v>0.92675519999999989</v>
      </c>
      <c r="H235" s="268" t="s">
        <v>179</v>
      </c>
      <c r="I235" s="269">
        <f t="shared" si="22"/>
        <v>-8.0000000000000007E-5</v>
      </c>
      <c r="K235" s="321"/>
      <c r="L235" s="321"/>
      <c r="M235" s="321"/>
      <c r="R235" s="174" t="s">
        <v>197</v>
      </c>
      <c r="S235" s="302" t="s">
        <v>175</v>
      </c>
      <c r="T235" s="174" t="s">
        <v>199</v>
      </c>
      <c r="U235" s="174" t="s">
        <v>197</v>
      </c>
      <c r="V235" s="302" t="s">
        <v>175</v>
      </c>
      <c r="W235" s="174" t="s">
        <v>199</v>
      </c>
      <c r="X235" s="301" t="s">
        <v>197</v>
      </c>
      <c r="Y235" s="302" t="s">
        <v>175</v>
      </c>
      <c r="Z235" s="174" t="s">
        <v>198</v>
      </c>
      <c r="AD235" s="174" t="s">
        <v>197</v>
      </c>
      <c r="AE235" s="302" t="s">
        <v>175</v>
      </c>
      <c r="AF235" s="174"/>
      <c r="AG235" s="174" t="s">
        <v>197</v>
      </c>
      <c r="AH235" s="302" t="s">
        <v>175</v>
      </c>
      <c r="AI235" s="174" t="s">
        <v>199</v>
      </c>
      <c r="AJ235" s="301" t="s">
        <v>197</v>
      </c>
      <c r="AK235" s="302" t="s">
        <v>175</v>
      </c>
      <c r="AL235" s="174" t="s">
        <v>199</v>
      </c>
    </row>
    <row r="236" spans="1:69" x14ac:dyDescent="0.25">
      <c r="A236" s="111">
        <f t="shared" si="21"/>
        <v>23.9</v>
      </c>
      <c r="B236" s="112">
        <f t="shared" si="18"/>
        <v>571.20999999999992</v>
      </c>
      <c r="C236" s="111">
        <f>C235</f>
        <v>46.1</v>
      </c>
      <c r="D236" s="112">
        <v>1427.1604938271605</v>
      </c>
      <c r="E236" s="195">
        <f t="shared" si="19"/>
        <v>1101.79</v>
      </c>
      <c r="F236" s="303"/>
      <c r="G236" s="261">
        <f>$M221+$L221*A236+$K221*B236+$J221*C236+$I221*D236+$H221*E236</f>
        <v>1.0500200604938275</v>
      </c>
      <c r="H236" s="268" t="s">
        <v>180</v>
      </c>
      <c r="I236" s="269">
        <f t="shared" si="22"/>
        <v>-2.1000000000000001E-4</v>
      </c>
      <c r="K236" s="317"/>
      <c r="L236" s="317"/>
      <c r="M236" s="317"/>
      <c r="R236" s="309" t="s">
        <v>124</v>
      </c>
      <c r="S236" s="307">
        <v>1.2364900000000001</v>
      </c>
      <c r="T236" s="308"/>
      <c r="U236" s="309" t="s">
        <v>124</v>
      </c>
      <c r="V236" s="310">
        <v>0.17405999999999999</v>
      </c>
      <c r="W236" s="311"/>
      <c r="X236" s="312" t="s">
        <v>124</v>
      </c>
      <c r="Y236" s="307">
        <v>3.7870750000000002</v>
      </c>
      <c r="Z236" s="308"/>
      <c r="AD236" s="309" t="s">
        <v>124</v>
      </c>
      <c r="AE236" s="322">
        <v>0.17405999999999999</v>
      </c>
      <c r="AF236" s="143"/>
      <c r="AG236" s="309" t="s">
        <v>124</v>
      </c>
      <c r="AH236" s="310">
        <v>0.43534758600000001</v>
      </c>
      <c r="AI236" s="311"/>
      <c r="AJ236" s="312" t="s">
        <v>124</v>
      </c>
      <c r="AK236" s="307">
        <v>0.34241440899999998</v>
      </c>
      <c r="AL236" s="308"/>
    </row>
    <row r="237" spans="1:69" x14ac:dyDescent="0.25">
      <c r="A237" s="160"/>
      <c r="B237" s="161"/>
      <c r="G237" s="160"/>
      <c r="H237" s="282"/>
      <c r="R237" s="309" t="s">
        <v>125</v>
      </c>
      <c r="S237" s="307">
        <v>-2.4309999999999998E-2</v>
      </c>
      <c r="T237" s="313"/>
      <c r="U237" s="309" t="s">
        <v>125</v>
      </c>
      <c r="V237" s="310">
        <v>2.2280000000000001E-2</v>
      </c>
      <c r="W237" s="313"/>
      <c r="X237" s="312" t="s">
        <v>125</v>
      </c>
      <c r="Y237" s="307">
        <v>-0.52950900000000001</v>
      </c>
      <c r="Z237" s="313"/>
      <c r="AD237" s="309" t="s">
        <v>125</v>
      </c>
      <c r="AE237" s="322">
        <v>2.2280000000000001E-2</v>
      </c>
      <c r="AF237" s="143"/>
      <c r="AG237" s="309" t="s">
        <v>125</v>
      </c>
      <c r="AH237" s="310">
        <v>4.0156410000000003E-3</v>
      </c>
      <c r="AI237" s="313"/>
      <c r="AJ237" s="312" t="s">
        <v>125</v>
      </c>
      <c r="AK237" s="307">
        <v>3.4885008000000002E-2</v>
      </c>
      <c r="AL237" s="313"/>
    </row>
    <row r="238" spans="1:69" x14ac:dyDescent="0.25">
      <c r="A238" s="274"/>
      <c r="B238" s="275" t="s">
        <v>183</v>
      </c>
      <c r="C238" s="275" t="s">
        <v>184</v>
      </c>
      <c r="H238" s="87"/>
      <c r="R238" s="309" t="s">
        <v>126</v>
      </c>
      <c r="S238" s="314">
        <v>5.6999999999999998E-4</v>
      </c>
      <c r="T238" s="313"/>
      <c r="U238" s="309" t="s">
        <v>126</v>
      </c>
      <c r="V238" s="315" t="s">
        <v>210</v>
      </c>
      <c r="W238" s="313"/>
      <c r="X238" s="312" t="s">
        <v>126</v>
      </c>
      <c r="Y238" s="314">
        <v>2.1104000000000001E-2</v>
      </c>
      <c r="Z238" s="313"/>
      <c r="AD238" s="309" t="s">
        <v>126</v>
      </c>
      <c r="AE238" s="322" t="s">
        <v>210</v>
      </c>
      <c r="AF238" s="143"/>
      <c r="AG238" s="309" t="s">
        <v>126</v>
      </c>
      <c r="AH238" s="315">
        <v>6.0423499999999995E-4</v>
      </c>
      <c r="AI238" s="313"/>
      <c r="AJ238" s="312" t="s">
        <v>126</v>
      </c>
      <c r="AK238" s="314">
        <v>-6.2370000000000004E-4</v>
      </c>
      <c r="AL238" s="313"/>
    </row>
    <row r="239" spans="1:69" x14ac:dyDescent="0.25">
      <c r="A239" s="274" t="s">
        <v>186</v>
      </c>
      <c r="B239" s="277">
        <f>P229</f>
        <v>15.6</v>
      </c>
      <c r="C239" s="277">
        <f>Q229</f>
        <v>23.9</v>
      </c>
      <c r="H239" s="278"/>
      <c r="R239" s="309" t="s">
        <v>127</v>
      </c>
      <c r="S239" s="307">
        <v>-1.434E-2</v>
      </c>
      <c r="T239" s="313"/>
      <c r="U239" s="309" t="s">
        <v>127</v>
      </c>
      <c r="V239" s="310">
        <v>2.8299999999999999E-2</v>
      </c>
      <c r="W239" s="313"/>
      <c r="X239" s="312" t="s">
        <v>127</v>
      </c>
      <c r="Y239" s="307">
        <v>2.9339E-2</v>
      </c>
      <c r="Z239" s="313"/>
      <c r="AD239" s="309" t="s">
        <v>127</v>
      </c>
      <c r="AE239" s="322">
        <v>2.8299999999999999E-2</v>
      </c>
      <c r="AF239" s="143"/>
      <c r="AG239" s="309" t="s">
        <v>127</v>
      </c>
      <c r="AH239" s="310">
        <v>1.5824042999999999E-2</v>
      </c>
      <c r="AI239" s="313"/>
      <c r="AJ239" s="312" t="s">
        <v>127</v>
      </c>
      <c r="AK239" s="307">
        <v>4.9772159999999996E-3</v>
      </c>
      <c r="AL239" s="313"/>
      <c r="BH239" s="142"/>
      <c r="BI239" s="142"/>
      <c r="BJ239" s="142"/>
      <c r="BK239" s="142"/>
      <c r="BL239" s="142"/>
      <c r="BM239" s="142"/>
      <c r="BN239" s="142"/>
      <c r="BO239" s="142"/>
      <c r="BP239" s="142"/>
      <c r="BQ239" s="142"/>
    </row>
    <row r="240" spans="1:69" x14ac:dyDescent="0.25">
      <c r="A240" s="274" t="s">
        <v>188</v>
      </c>
      <c r="B240" s="277">
        <f>P230</f>
        <v>15.6</v>
      </c>
      <c r="C240" s="277">
        <f>Q230</f>
        <v>46.1</v>
      </c>
      <c r="H240" s="278"/>
      <c r="R240" s="309" t="s">
        <v>179</v>
      </c>
      <c r="S240" s="314">
        <v>6.3000000000000003E-4</v>
      </c>
      <c r="T240" s="313"/>
      <c r="U240" s="309" t="s">
        <v>179</v>
      </c>
      <c r="V240" s="315">
        <v>4.8500000000000003E-4</v>
      </c>
      <c r="W240" s="313"/>
      <c r="X240" s="312" t="s">
        <v>179</v>
      </c>
      <c r="Y240" s="314">
        <v>-1.3899999999999999E-4</v>
      </c>
      <c r="Z240" s="313"/>
      <c r="AD240" s="309" t="s">
        <v>179</v>
      </c>
      <c r="AE240" s="322">
        <v>4.8500000000000003E-4</v>
      </c>
      <c r="AF240" s="143"/>
      <c r="AG240" s="309" t="s">
        <v>179</v>
      </c>
      <c r="AH240" s="315">
        <v>7.4728700000000002E-4</v>
      </c>
      <c r="AI240" s="313"/>
      <c r="AJ240" s="312" t="s">
        <v>179</v>
      </c>
      <c r="AK240" s="314">
        <v>4.3795100000000001E-4</v>
      </c>
      <c r="AL240" s="313"/>
      <c r="BH240" s="142"/>
      <c r="BI240" s="142"/>
      <c r="BJ240" s="142"/>
      <c r="BK240" s="142"/>
      <c r="BL240" s="142"/>
      <c r="BM240" s="142"/>
      <c r="BN240" s="142"/>
      <c r="BO240" s="142"/>
      <c r="BP240" s="142"/>
      <c r="BQ240" s="142"/>
    </row>
    <row r="241" spans="1:69" x14ac:dyDescent="0.25">
      <c r="B241" s="160"/>
      <c r="E241" s="323"/>
      <c r="G241" s="160"/>
      <c r="H241" s="278"/>
      <c r="R241" s="309" t="s">
        <v>180</v>
      </c>
      <c r="S241" s="314">
        <v>-3.8000000000000002E-4</v>
      </c>
      <c r="T241" s="313"/>
      <c r="U241" s="309" t="s">
        <v>180</v>
      </c>
      <c r="V241" s="315" t="s">
        <v>211</v>
      </c>
      <c r="W241" s="313"/>
      <c r="X241" s="312" t="s">
        <v>180</v>
      </c>
      <c r="Y241" s="314">
        <v>-1.5449999999999999E-3</v>
      </c>
      <c r="Z241" s="313"/>
      <c r="AD241" s="309" t="s">
        <v>180</v>
      </c>
      <c r="AE241" s="322" t="s">
        <v>211</v>
      </c>
      <c r="AF241" s="143"/>
      <c r="AG241" s="309" t="s">
        <v>180</v>
      </c>
      <c r="AH241" s="315">
        <v>-1.7797449999999999E-3</v>
      </c>
      <c r="AI241" s="313"/>
      <c r="AJ241" s="312" t="s">
        <v>180</v>
      </c>
      <c r="AK241" s="314">
        <v>-7.2802800000000003E-4</v>
      </c>
      <c r="AL241" s="313"/>
      <c r="BA241" s="226"/>
      <c r="BH241" s="142"/>
      <c r="BI241" s="142"/>
      <c r="BJ241" s="142"/>
      <c r="BK241" s="142"/>
      <c r="BL241" s="142"/>
      <c r="BM241" s="142"/>
      <c r="BN241" s="142"/>
      <c r="BO241" s="142"/>
      <c r="BP241" s="142"/>
      <c r="BQ241" s="142"/>
    </row>
    <row r="242" spans="1:69" x14ac:dyDescent="0.25">
      <c r="O242" s="86"/>
      <c r="R242" s="274"/>
      <c r="S242" s="275" t="s">
        <v>183</v>
      </c>
      <c r="T242" s="275" t="s">
        <v>184</v>
      </c>
      <c r="U242" s="274"/>
      <c r="V242" s="275" t="s">
        <v>183</v>
      </c>
      <c r="W242" s="275" t="s">
        <v>184</v>
      </c>
      <c r="X242" s="318"/>
      <c r="Y242" s="275" t="s">
        <v>183</v>
      </c>
      <c r="Z242" s="275" t="s">
        <v>184</v>
      </c>
      <c r="AD242" s="324"/>
      <c r="AE242" s="259" t="s">
        <v>183</v>
      </c>
      <c r="AF242" s="259" t="s">
        <v>184</v>
      </c>
      <c r="AG242" s="274"/>
      <c r="AH242" s="275" t="s">
        <v>183</v>
      </c>
      <c r="AI242" s="275" t="s">
        <v>184</v>
      </c>
      <c r="AJ242" s="318"/>
      <c r="AK242" s="275" t="s">
        <v>183</v>
      </c>
      <c r="AL242" s="275" t="s">
        <v>184</v>
      </c>
      <c r="BH242" s="142"/>
      <c r="BI242" s="142"/>
      <c r="BJ242" s="142"/>
      <c r="BK242" s="142"/>
      <c r="BL242" s="142"/>
      <c r="BM242" s="142"/>
      <c r="BN242" s="142"/>
      <c r="BO242" s="142"/>
      <c r="BP242" s="142"/>
      <c r="BQ242" s="142"/>
    </row>
    <row r="243" spans="1:69" x14ac:dyDescent="0.25">
      <c r="A243" s="160"/>
      <c r="B243" s="161"/>
      <c r="G243" s="160"/>
      <c r="R243" s="280" t="s">
        <v>186</v>
      </c>
      <c r="S243" s="281">
        <v>15.555555555555555</v>
      </c>
      <c r="T243" s="281">
        <v>23.888888888888889</v>
      </c>
      <c r="U243" s="280" t="s">
        <v>186</v>
      </c>
      <c r="V243" s="281">
        <v>5</v>
      </c>
      <c r="W243" s="281">
        <v>27</v>
      </c>
      <c r="X243" s="320" t="s">
        <v>186</v>
      </c>
      <c r="Y243" s="281">
        <v>17.777777777777779</v>
      </c>
      <c r="Z243" s="281">
        <v>21.111111111111111</v>
      </c>
      <c r="AD243" s="324" t="s">
        <v>186</v>
      </c>
      <c r="AE243" s="281">
        <v>5</v>
      </c>
      <c r="AF243" s="281">
        <v>27</v>
      </c>
      <c r="AG243" s="280" t="s">
        <v>186</v>
      </c>
      <c r="AH243" s="281">
        <v>-20</v>
      </c>
      <c r="AI243" s="281">
        <v>40</v>
      </c>
      <c r="AJ243" s="320" t="s">
        <v>186</v>
      </c>
      <c r="AK243" s="281">
        <v>15.555555555555555</v>
      </c>
      <c r="AL243" s="281">
        <v>23.888888888888889</v>
      </c>
      <c r="BE243" s="325"/>
      <c r="BH243" s="142"/>
      <c r="BI243" s="306"/>
      <c r="BJ243" s="326"/>
      <c r="BK243" s="326"/>
      <c r="BL243" s="326"/>
      <c r="BM243" s="326"/>
      <c r="BN243" s="326"/>
      <c r="BO243" s="326"/>
      <c r="BP243" s="326"/>
      <c r="BQ243" s="142"/>
    </row>
    <row r="244" spans="1:69" x14ac:dyDescent="0.25">
      <c r="A244" s="160"/>
      <c r="B244" s="161"/>
      <c r="G244" s="160"/>
      <c r="R244" s="280" t="s">
        <v>188</v>
      </c>
      <c r="S244" s="281">
        <v>15.6</v>
      </c>
      <c r="T244" s="281">
        <v>46.111111111111114</v>
      </c>
      <c r="U244" s="280" t="s">
        <v>188</v>
      </c>
      <c r="V244" s="281">
        <v>15.6</v>
      </c>
      <c r="W244" s="281">
        <v>40</v>
      </c>
      <c r="X244" s="320" t="s">
        <v>188</v>
      </c>
      <c r="Y244" s="281">
        <v>15.555555555555555</v>
      </c>
      <c r="Z244" s="281">
        <v>35</v>
      </c>
      <c r="AD244" s="324" t="s">
        <v>188</v>
      </c>
      <c r="AE244" s="281">
        <v>15.6</v>
      </c>
      <c r="AF244" s="281">
        <v>40</v>
      </c>
      <c r="AG244" s="280" t="s">
        <v>188</v>
      </c>
      <c r="AH244" s="281">
        <f>AH243</f>
        <v>-20</v>
      </c>
      <c r="AI244" s="281">
        <f>AI243</f>
        <v>40</v>
      </c>
      <c r="AJ244" s="320" t="s">
        <v>188</v>
      </c>
      <c r="AK244" s="281">
        <v>15.555555555555555</v>
      </c>
      <c r="AL244" s="281">
        <v>46.111111111111114</v>
      </c>
      <c r="BE244" s="325"/>
      <c r="BH244" s="142"/>
      <c r="BI244" s="142"/>
      <c r="BJ244" s="142"/>
      <c r="BK244" s="142"/>
      <c r="BL244" s="142"/>
      <c r="BM244" s="142"/>
      <c r="BN244" s="142"/>
      <c r="BO244" s="142"/>
      <c r="BP244" s="142"/>
      <c r="BQ244" s="142"/>
    </row>
    <row r="245" spans="1:69" x14ac:dyDescent="0.25">
      <c r="B245" s="87"/>
      <c r="C245" s="87"/>
      <c r="D245" s="87"/>
      <c r="E245" s="87"/>
      <c r="F245" s="87"/>
      <c r="G245" s="87"/>
      <c r="H245" s="87"/>
      <c r="V245" s="156">
        <f>V243*9/5+32</f>
        <v>41</v>
      </c>
      <c r="W245" s="272">
        <f>W243*9/5+32</f>
        <v>80.599999999999994</v>
      </c>
      <c r="Y245" s="156">
        <f>Y243*9/5+32</f>
        <v>64</v>
      </c>
      <c r="Z245" s="156">
        <f>Z243*9/5+32</f>
        <v>70</v>
      </c>
      <c r="AE245" s="156">
        <f>AE243*9/5+32</f>
        <v>41</v>
      </c>
      <c r="AF245" s="156">
        <f>AF243*9/5+32</f>
        <v>80.599999999999994</v>
      </c>
      <c r="AH245" s="156">
        <f>AH243*9/5+32</f>
        <v>-4</v>
      </c>
      <c r="AI245" s="156">
        <f>AI243*9/5+32</f>
        <v>104</v>
      </c>
      <c r="AK245" s="156">
        <f>AK243*9/5+32</f>
        <v>60</v>
      </c>
      <c r="AL245" s="156">
        <f>AL243*9/5+32</f>
        <v>75</v>
      </c>
      <c r="BE245" s="325"/>
      <c r="BH245" s="142"/>
      <c r="BI245" s="142"/>
      <c r="BJ245" s="142"/>
      <c r="BK245" s="142"/>
      <c r="BL245" s="142"/>
      <c r="BM245" s="142"/>
      <c r="BN245" s="142"/>
      <c r="BO245" s="142"/>
      <c r="BP245" s="142"/>
      <c r="BQ245" s="142"/>
    </row>
    <row r="246" spans="1:69" x14ac:dyDescent="0.25">
      <c r="B246" s="87"/>
      <c r="C246" s="87"/>
      <c r="D246" s="87"/>
      <c r="E246" s="87"/>
      <c r="F246" s="87"/>
      <c r="G246" s="87"/>
      <c r="H246" s="87"/>
      <c r="V246" s="156">
        <f>V244*9/5+32</f>
        <v>60.08</v>
      </c>
      <c r="W246" s="272">
        <f>W244*9/5+32</f>
        <v>104</v>
      </c>
      <c r="Y246" s="156">
        <f>Y244*9/5+32</f>
        <v>60</v>
      </c>
      <c r="Z246" s="156">
        <f>Z244*9/5+32</f>
        <v>95</v>
      </c>
      <c r="AE246" s="156">
        <f>AE244*9/5+32</f>
        <v>60.08</v>
      </c>
      <c r="AF246" s="156">
        <f>AF244*9/5+32</f>
        <v>104</v>
      </c>
      <c r="AH246" s="156">
        <f>AH244*9/5+32</f>
        <v>-4</v>
      </c>
      <c r="AI246" s="156">
        <f>AI244*9/5+32</f>
        <v>104</v>
      </c>
      <c r="AK246" s="156">
        <f>AK244*9/5+32</f>
        <v>60</v>
      </c>
      <c r="AL246" s="156">
        <f>AL244*9/5+32</f>
        <v>115</v>
      </c>
      <c r="BE246" s="325"/>
      <c r="BH246" s="142"/>
      <c r="BI246" s="142"/>
      <c r="BJ246" s="142"/>
      <c r="BK246" s="142"/>
      <c r="BL246" s="142"/>
      <c r="BM246" s="142"/>
      <c r="BN246" s="142"/>
      <c r="BO246" s="142"/>
      <c r="BP246" s="142"/>
      <c r="BQ246" s="142"/>
    </row>
    <row r="247" spans="1:69" x14ac:dyDescent="0.25">
      <c r="B247" s="87"/>
      <c r="C247" s="87"/>
      <c r="D247" s="87"/>
      <c r="E247" s="87"/>
      <c r="F247" s="87"/>
      <c r="G247" s="87"/>
      <c r="H247" s="87"/>
      <c r="BE247" s="325"/>
      <c r="BH247" s="142"/>
      <c r="BI247" s="188"/>
      <c r="BJ247" s="327"/>
      <c r="BK247" s="327"/>
      <c r="BL247" s="327"/>
      <c r="BM247" s="327"/>
      <c r="BN247" s="327"/>
      <c r="BO247" s="327"/>
      <c r="BP247" s="327"/>
      <c r="BQ247" s="142"/>
    </row>
    <row r="248" spans="1:69" x14ac:dyDescent="0.25">
      <c r="B248" s="87"/>
      <c r="C248" s="87"/>
      <c r="D248" s="87"/>
      <c r="E248" s="87"/>
      <c r="F248" s="87"/>
      <c r="G248" s="87"/>
      <c r="H248" s="87"/>
      <c r="BE248" s="325"/>
      <c r="BH248" s="142"/>
      <c r="BI248" s="328"/>
      <c r="BJ248" s="329"/>
      <c r="BK248" s="329"/>
      <c r="BL248" s="329"/>
      <c r="BM248" s="329"/>
      <c r="BN248" s="329"/>
      <c r="BO248" s="329"/>
      <c r="BP248" s="329"/>
      <c r="BQ248" s="142"/>
    </row>
    <row r="249" spans="1:69" x14ac:dyDescent="0.25">
      <c r="B249" s="87"/>
      <c r="C249" s="87"/>
      <c r="D249" s="87"/>
      <c r="E249" s="87"/>
      <c r="F249" s="87"/>
      <c r="G249" s="87"/>
      <c r="H249" s="87"/>
      <c r="BE249" s="325"/>
      <c r="BH249" s="142"/>
      <c r="BI249" s="328"/>
      <c r="BJ249" s="329"/>
      <c r="BK249" s="329"/>
      <c r="BL249" s="329"/>
      <c r="BM249" s="329"/>
      <c r="BN249" s="329"/>
      <c r="BO249" s="329"/>
      <c r="BP249" s="329"/>
      <c r="BQ249" s="142"/>
    </row>
    <row r="250" spans="1:69" x14ac:dyDescent="0.25">
      <c r="B250" s="87"/>
      <c r="C250" s="87"/>
      <c r="D250" s="87"/>
      <c r="E250" s="87"/>
      <c r="F250" s="87"/>
      <c r="G250" s="87"/>
      <c r="H250" s="87"/>
      <c r="BE250" s="325"/>
      <c r="BH250" s="142"/>
      <c r="BI250" s="328"/>
      <c r="BJ250" s="329"/>
      <c r="BK250" s="329"/>
      <c r="BL250" s="329"/>
      <c r="BM250" s="329"/>
      <c r="BN250" s="329"/>
      <c r="BO250" s="329"/>
      <c r="BP250" s="329"/>
      <c r="BQ250" s="142"/>
    </row>
    <row r="251" spans="1:69" x14ac:dyDescent="0.25">
      <c r="B251" s="87"/>
      <c r="C251" s="87"/>
      <c r="D251" s="87"/>
      <c r="E251" s="87"/>
      <c r="F251" s="87"/>
      <c r="G251" s="87"/>
      <c r="H251" s="87"/>
      <c r="BH251" s="142"/>
      <c r="BI251" s="328"/>
      <c r="BJ251" s="329"/>
      <c r="BK251" s="329"/>
      <c r="BL251" s="329"/>
      <c r="BM251" s="329"/>
      <c r="BN251" s="329"/>
      <c r="BO251" s="329"/>
      <c r="BP251" s="329"/>
      <c r="BQ251" s="142"/>
    </row>
    <row r="252" spans="1:69" x14ac:dyDescent="0.25">
      <c r="B252" s="87"/>
      <c r="C252" s="87"/>
      <c r="D252" s="87"/>
      <c r="E252" s="87"/>
      <c r="F252" s="87"/>
      <c r="G252" s="87"/>
      <c r="H252" s="87"/>
      <c r="BH252" s="142"/>
      <c r="BI252" s="328"/>
      <c r="BJ252" s="329"/>
      <c r="BK252" s="329"/>
      <c r="BL252" s="329"/>
      <c r="BM252" s="329"/>
      <c r="BN252" s="329"/>
      <c r="BO252" s="329"/>
      <c r="BP252" s="329"/>
      <c r="BQ252" s="142"/>
    </row>
    <row r="253" spans="1:69" x14ac:dyDescent="0.25">
      <c r="B253" s="87"/>
      <c r="C253" s="87"/>
      <c r="D253" s="87"/>
      <c r="E253" s="87"/>
      <c r="F253" s="87"/>
      <c r="G253" s="87"/>
      <c r="H253" s="87"/>
      <c r="BG253" s="323"/>
      <c r="BH253" s="142"/>
      <c r="BI253" s="328"/>
      <c r="BJ253" s="329"/>
      <c r="BK253" s="329"/>
      <c r="BL253" s="329"/>
      <c r="BM253" s="329"/>
      <c r="BN253" s="329"/>
      <c r="BO253" s="329"/>
      <c r="BP253" s="329"/>
      <c r="BQ253" s="142"/>
    </row>
    <row r="254" spans="1:69" x14ac:dyDescent="0.25">
      <c r="B254" s="87"/>
      <c r="C254" s="87"/>
      <c r="D254" s="87"/>
      <c r="E254" s="87"/>
      <c r="F254" s="87"/>
      <c r="G254" s="87"/>
      <c r="H254" s="87"/>
      <c r="BH254" s="142"/>
      <c r="BI254" s="328"/>
      <c r="BJ254" s="329"/>
      <c r="BK254" s="329"/>
      <c r="BL254" s="329"/>
      <c r="BM254" s="329"/>
      <c r="BN254" s="329"/>
      <c r="BO254" s="329"/>
      <c r="BP254" s="329"/>
      <c r="BQ254" s="142"/>
    </row>
    <row r="255" spans="1:69" x14ac:dyDescent="0.25">
      <c r="B255" s="87"/>
      <c r="C255" s="87"/>
      <c r="D255" s="87"/>
      <c r="E255" s="87"/>
      <c r="F255" s="87"/>
      <c r="G255" s="87"/>
      <c r="H255" s="87"/>
      <c r="BH255" s="142"/>
      <c r="BI255" s="328"/>
      <c r="BJ255" s="329"/>
      <c r="BK255" s="329"/>
      <c r="BL255" s="329"/>
      <c r="BM255" s="329"/>
      <c r="BN255" s="329"/>
      <c r="BO255" s="329"/>
      <c r="BP255" s="329"/>
      <c r="BQ255" s="142"/>
    </row>
    <row r="256" spans="1:69" x14ac:dyDescent="0.25">
      <c r="B256" s="87"/>
      <c r="C256" s="87"/>
      <c r="D256" s="87"/>
      <c r="E256" s="87"/>
      <c r="F256" s="87"/>
      <c r="G256" s="87"/>
      <c r="H256" s="87"/>
      <c r="BH256" s="142"/>
      <c r="BI256" s="328"/>
      <c r="BJ256" s="329"/>
      <c r="BK256" s="329"/>
      <c r="BL256" s="329"/>
      <c r="BM256" s="329"/>
      <c r="BN256" s="329"/>
      <c r="BO256" s="329"/>
      <c r="BP256" s="329"/>
      <c r="BQ256" s="142"/>
    </row>
    <row r="257" spans="1:69" x14ac:dyDescent="0.25">
      <c r="BH257" s="142"/>
      <c r="BI257" s="328"/>
      <c r="BJ257" s="329"/>
      <c r="BK257" s="329"/>
      <c r="BL257" s="329"/>
      <c r="BM257" s="329"/>
      <c r="BN257" s="329"/>
      <c r="BO257" s="329"/>
      <c r="BP257" s="329"/>
      <c r="BQ257" s="142"/>
    </row>
    <row r="258" spans="1:69" x14ac:dyDescent="0.25">
      <c r="BH258" s="142"/>
      <c r="BI258" s="328"/>
      <c r="BJ258" s="329"/>
      <c r="BK258" s="329"/>
      <c r="BL258" s="329"/>
      <c r="BM258" s="329"/>
      <c r="BN258" s="329"/>
      <c r="BO258" s="329"/>
      <c r="BP258" s="329"/>
      <c r="BQ258" s="142"/>
    </row>
    <row r="259" spans="1:69" ht="31.5" x14ac:dyDescent="0.25">
      <c r="A259" s="83" t="s">
        <v>212</v>
      </c>
      <c r="B259" s="84"/>
      <c r="C259" s="84"/>
      <c r="D259" s="84"/>
      <c r="E259" s="84"/>
      <c r="F259" s="84"/>
      <c r="G259" s="84"/>
      <c r="H259" s="84"/>
      <c r="I259" s="84"/>
      <c r="J259" s="84"/>
      <c r="K259" s="84"/>
      <c r="L259" s="85"/>
    </row>
    <row r="291" spans="1:44" x14ac:dyDescent="0.25">
      <c r="A291" s="290"/>
      <c r="B291" s="290"/>
      <c r="C291" s="290"/>
      <c r="D291" s="290"/>
      <c r="E291" s="290"/>
      <c r="F291" s="290"/>
      <c r="G291" s="290"/>
      <c r="H291" s="290"/>
      <c r="I291" s="290"/>
      <c r="J291" s="290"/>
      <c r="K291" s="290"/>
      <c r="L291" s="290"/>
      <c r="M291" s="290"/>
      <c r="O291" s="163" t="s">
        <v>213</v>
      </c>
      <c r="P291" s="163"/>
      <c r="Q291" s="163"/>
      <c r="R291" s="163" t="s">
        <v>214</v>
      </c>
      <c r="S291" s="163"/>
      <c r="T291" s="163"/>
      <c r="U291" s="163" t="s">
        <v>215</v>
      </c>
      <c r="V291" s="163"/>
      <c r="W291" s="163"/>
      <c r="Z291" s="290"/>
      <c r="AA291" s="290"/>
      <c r="AB291" s="290"/>
      <c r="AC291" s="290"/>
      <c r="AD291" s="290"/>
      <c r="AE291" s="290"/>
      <c r="AF291" s="290"/>
      <c r="AG291" s="290"/>
      <c r="AH291" s="290"/>
      <c r="AI291" s="290"/>
      <c r="AJ291" s="290"/>
      <c r="AK291" s="290"/>
      <c r="AL291" s="290"/>
    </row>
    <row r="292" spans="1:44" ht="23.25" x14ac:dyDescent="0.35">
      <c r="A292" s="291"/>
      <c r="B292" s="292"/>
      <c r="C292" s="293" t="s">
        <v>192</v>
      </c>
      <c r="D292" s="294" t="str">
        <f>O292</f>
        <v>VRFoa ClgCap'yLo - f(WBrm, Toa)</v>
      </c>
      <c r="E292" s="294"/>
      <c r="F292" s="294"/>
      <c r="G292" s="295"/>
      <c r="H292" s="330" t="s">
        <v>164</v>
      </c>
      <c r="I292" s="268" t="s">
        <v>165</v>
      </c>
      <c r="J292" s="268" t="s">
        <v>97</v>
      </c>
      <c r="K292" s="268" t="s">
        <v>96</v>
      </c>
      <c r="L292" s="268" t="s">
        <v>94</v>
      </c>
      <c r="M292" s="268" t="s">
        <v>95</v>
      </c>
      <c r="O292" s="165" t="s">
        <v>216</v>
      </c>
      <c r="P292" s="166"/>
      <c r="Q292" s="167"/>
      <c r="R292" s="165" t="s">
        <v>217</v>
      </c>
      <c r="S292" s="166"/>
      <c r="T292" s="167"/>
      <c r="U292" s="165" t="s">
        <v>218</v>
      </c>
      <c r="V292" s="166"/>
      <c r="W292" s="167"/>
      <c r="Z292" s="291"/>
      <c r="AA292" s="292"/>
      <c r="AB292" s="293" t="s">
        <v>192</v>
      </c>
      <c r="AC292" s="294" t="str">
        <f>U292</f>
        <v>VRFoa ClgCap'yHi - f(WBrm, Toa)</v>
      </c>
      <c r="AD292" s="294"/>
      <c r="AE292" s="294"/>
      <c r="AF292" s="295"/>
      <c r="AG292" s="330" t="s">
        <v>164</v>
      </c>
      <c r="AH292" s="268" t="s">
        <v>165</v>
      </c>
      <c r="AI292" s="268" t="s">
        <v>97</v>
      </c>
      <c r="AJ292" s="268" t="s">
        <v>96</v>
      </c>
      <c r="AK292" s="268" t="s">
        <v>94</v>
      </c>
      <c r="AL292" s="268" t="s">
        <v>95</v>
      </c>
      <c r="AN292" s="88"/>
      <c r="AO292" s="90" t="s">
        <v>110</v>
      </c>
      <c r="AP292" s="91" t="str">
        <f>R292</f>
        <v>VRFoa ClgBound f(Toa)</v>
      </c>
      <c r="AQ292" s="89"/>
      <c r="AR292" s="92"/>
    </row>
    <row r="293" spans="1:44" ht="30" x14ac:dyDescent="0.25">
      <c r="A293" s="331" t="str">
        <f>O293</f>
        <v>Wbent (X)</v>
      </c>
      <c r="B293" s="331" t="s">
        <v>88</v>
      </c>
      <c r="C293" s="331" t="str">
        <f>P293</f>
        <v>Toa (Y)</v>
      </c>
      <c r="D293" s="331" t="s">
        <v>170</v>
      </c>
      <c r="E293" s="331" t="s">
        <v>171</v>
      </c>
      <c r="F293" s="332"/>
      <c r="G293" s="331" t="s">
        <v>173</v>
      </c>
      <c r="H293" s="251">
        <f>I308</f>
        <v>-1.1503E-8</v>
      </c>
      <c r="I293" s="251">
        <f>I307</f>
        <v>7.6150400000000002E-9</v>
      </c>
      <c r="J293" s="251">
        <f>I306</f>
        <v>1.15563E-7</v>
      </c>
      <c r="K293" s="251">
        <f>I305</f>
        <v>5.8326000000000005E-4</v>
      </c>
      <c r="L293" s="251">
        <f>I304</f>
        <v>1.7450222000000001E-2</v>
      </c>
      <c r="M293" s="251">
        <f>I303</f>
        <v>0.57685647699999998</v>
      </c>
      <c r="O293" s="172" t="s">
        <v>219</v>
      </c>
      <c r="P293" s="300" t="s">
        <v>175</v>
      </c>
      <c r="Q293" s="172" t="s">
        <v>198</v>
      </c>
      <c r="R293" s="172" t="s">
        <v>197</v>
      </c>
      <c r="S293" s="300" t="s">
        <v>175</v>
      </c>
      <c r="T293" s="172"/>
      <c r="U293" s="172" t="s">
        <v>174</v>
      </c>
      <c r="V293" s="300" t="s">
        <v>175</v>
      </c>
      <c r="W293" s="172" t="s">
        <v>198</v>
      </c>
      <c r="Z293" s="210" t="str">
        <f>U293</f>
        <v>WBent
(X)</v>
      </c>
      <c r="AA293" s="210" t="s">
        <v>88</v>
      </c>
      <c r="AB293" s="210" t="str">
        <f>V293</f>
        <v>Toa (Y)</v>
      </c>
      <c r="AC293" s="210" t="s">
        <v>170</v>
      </c>
      <c r="AD293" s="210" t="s">
        <v>171</v>
      </c>
      <c r="AE293" s="299"/>
      <c r="AF293" s="210" t="s">
        <v>173</v>
      </c>
      <c r="AG293" s="251">
        <f>AH308</f>
        <v>-3.39E-4</v>
      </c>
      <c r="AH293" s="251">
        <f>AH307</f>
        <v>-6.2539999999999998E-7</v>
      </c>
      <c r="AI293" s="251">
        <f>AH306</f>
        <v>-1.6098E-3</v>
      </c>
      <c r="AJ293" s="251">
        <f>AH305</f>
        <v>5.4449999999999995E-4</v>
      </c>
      <c r="AK293" s="251">
        <f>AH304</f>
        <v>2.0786900000000001E-2</v>
      </c>
      <c r="AL293" s="251">
        <f>AH303</f>
        <v>0.68615510000000002</v>
      </c>
      <c r="AN293" s="102" t="str">
        <f>R293</f>
        <v>WBrm (X)</v>
      </c>
      <c r="AO293" s="102" t="s">
        <v>88</v>
      </c>
      <c r="AP293" s="102" t="s">
        <v>89</v>
      </c>
      <c r="AQ293" s="102" t="str">
        <f>S293</f>
        <v>Toa (Y)</v>
      </c>
      <c r="AR293" s="102"/>
    </row>
    <row r="294" spans="1:44" x14ac:dyDescent="0.25">
      <c r="A294" s="260">
        <f>B311</f>
        <v>15</v>
      </c>
      <c r="B294" s="112">
        <f t="shared" ref="B294:B308" si="23">A294^2</f>
        <v>225</v>
      </c>
      <c r="C294" s="260">
        <f>B312</f>
        <v>-5</v>
      </c>
      <c r="D294" s="112">
        <v>241.97530864197529</v>
      </c>
      <c r="E294" s="195">
        <f t="shared" ref="E294:E308" si="24">A294*C294</f>
        <v>-75</v>
      </c>
      <c r="F294" s="303"/>
      <c r="G294" s="261">
        <f>$M293+$L293*A294+$K293*B294+$J293*C294+$I293*D294+$H293*E294</f>
        <v>0.9698454345616544</v>
      </c>
      <c r="H294" s="304"/>
      <c r="I294" s="304"/>
      <c r="J294" s="304"/>
      <c r="K294" s="304"/>
      <c r="L294" s="304"/>
      <c r="M294" s="304"/>
      <c r="O294" s="221" t="s">
        <v>124</v>
      </c>
      <c r="P294" s="305">
        <v>0.57685647699999998</v>
      </c>
      <c r="Q294" s="183"/>
      <c r="R294" s="221" t="s">
        <v>124</v>
      </c>
      <c r="S294" s="305">
        <v>25.734737750000001</v>
      </c>
      <c r="T294" s="183"/>
      <c r="U294" s="221" t="s">
        <v>124</v>
      </c>
      <c r="V294" s="305">
        <v>0.68615510000000002</v>
      </c>
      <c r="W294" s="183"/>
      <c r="Z294" s="260">
        <f>AA311</f>
        <v>15</v>
      </c>
      <c r="AA294" s="112">
        <f t="shared" ref="AA294:AA308" si="25">Z294^2</f>
        <v>225</v>
      </c>
      <c r="AB294" s="260">
        <f>AA312</f>
        <v>16.100000000000001</v>
      </c>
      <c r="AC294" s="112">
        <v>241.97530864197529</v>
      </c>
      <c r="AD294" s="195">
        <f t="shared" ref="AD294:AD308" si="26">Z294*AB294</f>
        <v>241.50000000000003</v>
      </c>
      <c r="AE294" s="303"/>
      <c r="AF294" s="261">
        <f>$M293+$L293*Z294+$K293*AA294+$J293*AB294+$I293*AC294+$H293*AD294</f>
        <v>0.96984423224145433</v>
      </c>
      <c r="AG294" s="304"/>
      <c r="AH294" s="304"/>
      <c r="AI294" s="304"/>
      <c r="AJ294" s="304"/>
      <c r="AK294" s="304"/>
      <c r="AL294" s="304"/>
      <c r="AN294" s="111">
        <f>S301</f>
        <v>15</v>
      </c>
      <c r="AO294" s="196">
        <f t="shared" ref="AO294:AO299" si="27">AN294^2</f>
        <v>225</v>
      </c>
      <c r="AP294" s="196">
        <f t="shared" ref="AP294:AP299" si="28">AN294^3</f>
        <v>3375</v>
      </c>
      <c r="AQ294" s="333">
        <f>$S$294+AN294*$S$295+AO294*$S$296++AP294*$S$297</f>
        <v>22.074892550000001</v>
      </c>
    </row>
    <row r="295" spans="1:44" x14ac:dyDescent="0.25">
      <c r="A295" s="111">
        <f>(A296+A294)/2</f>
        <v>19.444444444444443</v>
      </c>
      <c r="B295" s="112">
        <f t="shared" si="23"/>
        <v>378.08641975308637</v>
      </c>
      <c r="C295" s="111">
        <f>C294</f>
        <v>-5</v>
      </c>
      <c r="D295" s="112">
        <v>241.97530864197529</v>
      </c>
      <c r="E295" s="195">
        <f t="shared" si="24"/>
        <v>-97.222222222222214</v>
      </c>
      <c r="F295" s="303"/>
      <c r="G295" s="261">
        <f>$M293+$L293*A295+$K293*B295+$J293*C295+$I293*D295+$H293*E295</f>
        <v>1.1366914175912839</v>
      </c>
      <c r="H295" s="304"/>
      <c r="I295" s="304"/>
      <c r="J295" s="304"/>
      <c r="K295" s="304"/>
      <c r="L295" s="304"/>
      <c r="M295" s="304"/>
      <c r="O295" s="221" t="s">
        <v>125</v>
      </c>
      <c r="P295" s="305">
        <v>1.7450222000000001E-2</v>
      </c>
      <c r="Q295" s="183"/>
      <c r="R295" s="221" t="s">
        <v>125</v>
      </c>
      <c r="S295" s="305">
        <v>-3.1500430000000003E-2</v>
      </c>
      <c r="T295" s="183"/>
      <c r="U295" s="221" t="s">
        <v>125</v>
      </c>
      <c r="V295" s="305">
        <v>2.0786900000000001E-2</v>
      </c>
      <c r="W295" s="183"/>
      <c r="Z295" s="111">
        <f>(Z296+Z294)/2</f>
        <v>19.444444444444443</v>
      </c>
      <c r="AA295" s="112">
        <f t="shared" si="25"/>
        <v>378.08641975308637</v>
      </c>
      <c r="AB295" s="111">
        <f>AB294</f>
        <v>16.100000000000001</v>
      </c>
      <c r="AC295" s="112">
        <v>241.97530864197529</v>
      </c>
      <c r="AD295" s="195">
        <f t="shared" si="26"/>
        <v>313.05555555555554</v>
      </c>
      <c r="AE295" s="303"/>
      <c r="AF295" s="261">
        <f>$M293+$L293*Z295+$K293*AA295+$J293*AB295+$I293*AC295+$H293*AD295</f>
        <v>1.1366891365453062</v>
      </c>
      <c r="AG295" s="304"/>
      <c r="AH295" s="304"/>
      <c r="AI295" s="304"/>
      <c r="AJ295" s="304"/>
      <c r="AK295" s="304"/>
      <c r="AL295" s="304"/>
      <c r="AN295" s="147">
        <f>AN294+0.2*(AN299-AN294)</f>
        <v>16.777777777777779</v>
      </c>
      <c r="AO295" s="196">
        <f t="shared" si="27"/>
        <v>281.49382716049388</v>
      </c>
      <c r="AP295" s="196">
        <f t="shared" si="28"/>
        <v>4722.8408779149531</v>
      </c>
      <c r="AQ295" s="333">
        <f>$B$95+AN295*$B$96+AO295*$B$97++AP295*$B$98</f>
        <v>0.87027313898765435</v>
      </c>
    </row>
    <row r="296" spans="1:44" x14ac:dyDescent="0.25">
      <c r="A296" s="260">
        <f>C311</f>
        <v>23.888888888888889</v>
      </c>
      <c r="B296" s="112">
        <f t="shared" si="23"/>
        <v>570.67901234567898</v>
      </c>
      <c r="C296" s="111">
        <f>C295</f>
        <v>-5</v>
      </c>
      <c r="D296" s="112">
        <f t="shared" ref="D296:D307" si="29">C296^2</f>
        <v>25</v>
      </c>
      <c r="E296" s="195">
        <f t="shared" si="24"/>
        <v>-119.44444444444444</v>
      </c>
      <c r="F296" s="303"/>
      <c r="G296" s="261">
        <f>$M293+$L293*A296+$K293*B296+$J293*C296+$I293*D296+$H293*E296</f>
        <v>1.3265781187156298</v>
      </c>
      <c r="H296" s="304"/>
      <c r="I296" s="304"/>
      <c r="J296" s="304"/>
      <c r="K296" s="304"/>
      <c r="L296" s="304"/>
      <c r="M296" s="304"/>
      <c r="O296" s="221" t="s">
        <v>126</v>
      </c>
      <c r="P296" s="305">
        <v>5.8326000000000005E-4</v>
      </c>
      <c r="Q296" s="183"/>
      <c r="R296" s="221" t="s">
        <v>126</v>
      </c>
      <c r="S296" s="305">
        <v>-1.416595E-2</v>
      </c>
      <c r="T296" s="183"/>
      <c r="U296" s="221" t="s">
        <v>126</v>
      </c>
      <c r="V296" s="305">
        <v>5.4449999999999995E-4</v>
      </c>
      <c r="W296" s="183"/>
      <c r="Z296" s="260">
        <f>AB311</f>
        <v>23.888888888888889</v>
      </c>
      <c r="AA296" s="112">
        <f t="shared" si="25"/>
        <v>570.67901234567898</v>
      </c>
      <c r="AB296" s="111">
        <f>AB295</f>
        <v>16.100000000000001</v>
      </c>
      <c r="AC296" s="112">
        <f t="shared" ref="AC296:AC307" si="30">AB296^2</f>
        <v>259.21000000000004</v>
      </c>
      <c r="AD296" s="195">
        <f t="shared" si="26"/>
        <v>384.61111111111114</v>
      </c>
      <c r="AE296" s="303"/>
      <c r="AF296" s="261">
        <f>$M293+$L293*Z296+$K293*AA296+$J293*AB296+$I293*AC296+$H293*AD296</f>
        <v>1.3265765424623928</v>
      </c>
      <c r="AG296" s="304"/>
      <c r="AH296" s="304"/>
      <c r="AI296" s="304"/>
      <c r="AJ296" s="304"/>
      <c r="AK296" s="304"/>
      <c r="AL296" s="304"/>
      <c r="AN296" s="147">
        <f>AN295+0.2*(AN299-AN294)</f>
        <v>18.555555555555557</v>
      </c>
      <c r="AO296" s="196">
        <f t="shared" si="27"/>
        <v>344.30864197530872</v>
      </c>
      <c r="AP296" s="196">
        <f t="shared" si="28"/>
        <v>6388.838134430729</v>
      </c>
      <c r="AQ296" s="333">
        <f>$B$95+AN296*$B$96+AO296*$B$97++AP296*$B$98</f>
        <v>0.84316478461728395</v>
      </c>
    </row>
    <row r="297" spans="1:44" x14ac:dyDescent="0.25">
      <c r="A297" s="111">
        <f t="shared" ref="A297:A308" si="31">A294</f>
        <v>15</v>
      </c>
      <c r="B297" s="112">
        <f t="shared" si="23"/>
        <v>225</v>
      </c>
      <c r="C297" s="260">
        <f>C294+0.25*(C312-B312)</f>
        <v>1.9500000000000002</v>
      </c>
      <c r="D297" s="112">
        <f t="shared" si="29"/>
        <v>3.8025000000000007</v>
      </c>
      <c r="E297" s="195">
        <f t="shared" si="24"/>
        <v>29.250000000000004</v>
      </c>
      <c r="F297" s="303"/>
      <c r="G297" s="261">
        <f>$M293+$L293*A297+$K293*B297+$J293*C297+$I293*D297+$H293*E297</f>
        <v>0.9698432248412896</v>
      </c>
      <c r="H297" s="304"/>
      <c r="I297" s="304"/>
      <c r="J297" s="304"/>
      <c r="K297" s="304"/>
      <c r="L297" s="304"/>
      <c r="M297" s="304"/>
      <c r="O297" s="221" t="s">
        <v>127</v>
      </c>
      <c r="P297" s="305">
        <v>1.15563E-7</v>
      </c>
      <c r="Q297" s="183"/>
      <c r="R297" s="221"/>
      <c r="S297" s="305"/>
      <c r="T297" s="183"/>
      <c r="U297" s="221" t="s">
        <v>127</v>
      </c>
      <c r="V297" s="305">
        <v>-1.6098E-3</v>
      </c>
      <c r="W297" s="183"/>
      <c r="Z297" s="111">
        <f t="shared" ref="Z297:Z308" si="32">Z294</f>
        <v>15</v>
      </c>
      <c r="AA297" s="112">
        <f t="shared" si="25"/>
        <v>225</v>
      </c>
      <c r="AB297" s="260">
        <f>AB294+0.25*(AB312-AA312)</f>
        <v>22.774999999999999</v>
      </c>
      <c r="AC297" s="112">
        <f t="shared" si="30"/>
        <v>518.70062499999995</v>
      </c>
      <c r="AD297" s="195">
        <f t="shared" si="26"/>
        <v>341.625</v>
      </c>
      <c r="AE297" s="303"/>
      <c r="AF297" s="261">
        <f>$M293+$L293*Z297+$K293*AA297+$J293*AB297+$I293*AC297+$H293*AD297</f>
        <v>0.96984595916095739</v>
      </c>
      <c r="AG297" s="304"/>
      <c r="AH297" s="304"/>
      <c r="AI297" s="304"/>
      <c r="AJ297" s="304"/>
      <c r="AK297" s="304"/>
      <c r="AL297" s="304"/>
      <c r="AN297" s="147">
        <f>AN296+0.2*(AN299-AN294)</f>
        <v>20.333333333333336</v>
      </c>
      <c r="AO297" s="196">
        <f t="shared" si="27"/>
        <v>413.44444444444451</v>
      </c>
      <c r="AP297" s="196">
        <f t="shared" si="28"/>
        <v>8406.7037037037062</v>
      </c>
      <c r="AQ297" s="333">
        <f>$B$95+AN297*$B$96+AO297*$B$97++AP297*$B$98</f>
        <v>0.81440575488888878</v>
      </c>
    </row>
    <row r="298" spans="1:44" x14ac:dyDescent="0.25">
      <c r="A298" s="111">
        <f t="shared" si="31"/>
        <v>19.444444444444443</v>
      </c>
      <c r="B298" s="112">
        <f t="shared" si="23"/>
        <v>378.08641975308637</v>
      </c>
      <c r="C298" s="111">
        <f>C297</f>
        <v>1.9500000000000002</v>
      </c>
      <c r="D298" s="112">
        <f t="shared" si="29"/>
        <v>3.8025000000000007</v>
      </c>
      <c r="E298" s="195">
        <f t="shared" si="24"/>
        <v>37.916666666666664</v>
      </c>
      <c r="F298" s="303"/>
      <c r="G298" s="261">
        <f>$M293+$L293*A298+$K293*B298+$J293*C298+$I293*D298+$H293*E298</f>
        <v>1.1366888525560304</v>
      </c>
      <c r="H298" s="304"/>
      <c r="I298" s="304"/>
      <c r="J298" s="304"/>
      <c r="K298" s="304"/>
      <c r="L298" s="304"/>
      <c r="M298" s="304"/>
      <c r="O298" s="221" t="s">
        <v>179</v>
      </c>
      <c r="P298" s="305">
        <v>7.6150400000000002E-9</v>
      </c>
      <c r="Q298" s="183"/>
      <c r="R298" s="221"/>
      <c r="S298" s="305"/>
      <c r="T298" s="183"/>
      <c r="U298" s="221" t="s">
        <v>179</v>
      </c>
      <c r="V298" s="305">
        <v>-6.2539999999999998E-7</v>
      </c>
      <c r="W298" s="183"/>
      <c r="Z298" s="111">
        <f t="shared" si="32"/>
        <v>19.444444444444443</v>
      </c>
      <c r="AA298" s="112">
        <f t="shared" si="25"/>
        <v>378.08641975308637</v>
      </c>
      <c r="AB298" s="111">
        <f>AB297</f>
        <v>22.774999999999999</v>
      </c>
      <c r="AC298" s="112">
        <f t="shared" si="30"/>
        <v>518.70062499999995</v>
      </c>
      <c r="AD298" s="195">
        <f t="shared" si="26"/>
        <v>442.84722222222217</v>
      </c>
      <c r="AE298" s="303"/>
      <c r="AF298" s="261">
        <f>$M293+$L293*Z298+$K293*AA298+$J293*AB298+$I293*AC298+$H293*AD298</f>
        <v>1.1366905222091426</v>
      </c>
      <c r="AG298" s="304"/>
      <c r="AH298" s="304"/>
      <c r="AI298" s="304"/>
      <c r="AJ298" s="304"/>
      <c r="AK298" s="304"/>
      <c r="AL298" s="304"/>
      <c r="AN298" s="147">
        <f>AN297+0.2*(AN299-AN294)</f>
        <v>22.111111111111114</v>
      </c>
      <c r="AO298" s="196">
        <f t="shared" si="27"/>
        <v>488.90123456790138</v>
      </c>
      <c r="AP298" s="196">
        <f t="shared" si="28"/>
        <v>10810.149519890265</v>
      </c>
      <c r="AQ298" s="333">
        <f>$B$95+AN298*$B$96+AO298*$B$97++AP298*$B$98</f>
        <v>0.78320961780246923</v>
      </c>
    </row>
    <row r="299" spans="1:44" x14ac:dyDescent="0.25">
      <c r="A299" s="111">
        <f t="shared" si="31"/>
        <v>23.888888888888889</v>
      </c>
      <c r="B299" s="112">
        <f t="shared" si="23"/>
        <v>570.67901234567898</v>
      </c>
      <c r="C299" s="111">
        <f>C298</f>
        <v>1.9500000000000002</v>
      </c>
      <c r="D299" s="112">
        <f t="shared" si="29"/>
        <v>3.8025000000000007</v>
      </c>
      <c r="E299" s="195">
        <f t="shared" si="24"/>
        <v>46.583333333333336</v>
      </c>
      <c r="F299" s="303"/>
      <c r="G299" s="261">
        <f>$M293+$L293*A299+$K293*B299+$J293*C299+$I293*D299+$H293*E299</f>
        <v>1.3265768506411417</v>
      </c>
      <c r="H299" s="304"/>
      <c r="I299" s="304"/>
      <c r="J299" s="304"/>
      <c r="K299" s="304"/>
      <c r="L299" s="304"/>
      <c r="M299" s="304"/>
      <c r="O299" s="221" t="s">
        <v>180</v>
      </c>
      <c r="P299" s="305">
        <v>-1.1503E-8</v>
      </c>
      <c r="Q299" s="183"/>
      <c r="R299" s="221"/>
      <c r="S299" s="305"/>
      <c r="T299" s="183"/>
      <c r="U299" s="221" t="s">
        <v>180</v>
      </c>
      <c r="V299" s="305">
        <v>-3.39E-4</v>
      </c>
      <c r="W299" s="183"/>
      <c r="Z299" s="111">
        <f t="shared" si="32"/>
        <v>23.888888888888889</v>
      </c>
      <c r="AA299" s="112">
        <f t="shared" si="25"/>
        <v>570.67901234567898</v>
      </c>
      <c r="AB299" s="111">
        <f>AB298</f>
        <v>22.774999999999999</v>
      </c>
      <c r="AC299" s="112">
        <f t="shared" si="30"/>
        <v>518.70062499999995</v>
      </c>
      <c r="AD299" s="195">
        <f t="shared" si="26"/>
        <v>544.06944444444446</v>
      </c>
      <c r="AE299" s="303"/>
      <c r="AF299" s="261">
        <f>$M293+$L293*Z299+$K293*AA299+$J293*AB299+$I293*AC299+$H293*AD299</f>
        <v>1.3265774556276984</v>
      </c>
      <c r="AG299" s="304"/>
      <c r="AH299" s="304"/>
      <c r="AI299" s="304"/>
      <c r="AJ299" s="304"/>
      <c r="AK299" s="304"/>
      <c r="AL299" s="304"/>
      <c r="AN299" s="111">
        <f>T301</f>
        <v>23.888888888888889</v>
      </c>
      <c r="AO299" s="196">
        <f t="shared" si="27"/>
        <v>570.67901234567898</v>
      </c>
      <c r="AP299" s="196">
        <f t="shared" si="28"/>
        <v>13632.887517146775</v>
      </c>
      <c r="AQ299" s="333">
        <f>$B$95+AN299*$B$96+AO299*$B$97++AP299*$B$98</f>
        <v>0.74878994135802479</v>
      </c>
    </row>
    <row r="300" spans="1:44" x14ac:dyDescent="0.25">
      <c r="A300" s="111">
        <f t="shared" si="31"/>
        <v>15</v>
      </c>
      <c r="B300" s="112">
        <f t="shared" si="23"/>
        <v>225</v>
      </c>
      <c r="C300" s="260">
        <f>C297+0.25*(C312-B312)</f>
        <v>8.9</v>
      </c>
      <c r="D300" s="112">
        <f t="shared" si="29"/>
        <v>79.210000000000008</v>
      </c>
      <c r="E300" s="195">
        <f t="shared" si="24"/>
        <v>133.5</v>
      </c>
      <c r="F300" s="303"/>
      <c r="G300" s="261">
        <f>$M293+$L293*A300+$K293*B300+$J293*C300+$I293*D300+$H293*E300</f>
        <v>0.96984340304751848</v>
      </c>
      <c r="H300" s="317"/>
      <c r="I300" s="317"/>
      <c r="J300" s="317"/>
      <c r="K300" s="317"/>
      <c r="L300" s="317"/>
      <c r="M300" s="317"/>
      <c r="O300" s="276"/>
      <c r="P300" s="257" t="s">
        <v>183</v>
      </c>
      <c r="Q300" s="257" t="s">
        <v>184</v>
      </c>
      <c r="R300" s="276"/>
      <c r="S300" s="257" t="s">
        <v>183</v>
      </c>
      <c r="T300" s="257" t="s">
        <v>184</v>
      </c>
      <c r="U300" s="276"/>
      <c r="V300" s="257" t="s">
        <v>183</v>
      </c>
      <c r="W300" s="257" t="s">
        <v>184</v>
      </c>
      <c r="Z300" s="111">
        <f t="shared" si="32"/>
        <v>15</v>
      </c>
      <c r="AA300" s="112">
        <f t="shared" si="25"/>
        <v>225</v>
      </c>
      <c r="AB300" s="260">
        <f>AB297+0.25*(AB312-AA312)</f>
        <v>29.449999999999996</v>
      </c>
      <c r="AC300" s="112">
        <f t="shared" si="30"/>
        <v>867.30249999999978</v>
      </c>
      <c r="AD300" s="195">
        <f t="shared" si="26"/>
        <v>441.74999999999994</v>
      </c>
      <c r="AE300" s="303"/>
      <c r="AF300" s="261">
        <f>$M293+$L293*Z300+$K293*AA300+$J293*AB300+$I293*AC300+$H293*AD300</f>
        <v>0.9698482334233296</v>
      </c>
      <c r="AG300" s="317"/>
      <c r="AH300" s="317"/>
      <c r="AI300" s="317"/>
      <c r="AJ300" s="317"/>
      <c r="AK300" s="317"/>
      <c r="AL300" s="317"/>
    </row>
    <row r="301" spans="1:44" x14ac:dyDescent="0.25">
      <c r="A301" s="111">
        <f t="shared" si="31"/>
        <v>19.444444444444443</v>
      </c>
      <c r="B301" s="112">
        <f t="shared" si="23"/>
        <v>378.08641975308637</v>
      </c>
      <c r="C301" s="111">
        <f>C300</f>
        <v>8.9</v>
      </c>
      <c r="D301" s="112">
        <f t="shared" si="29"/>
        <v>79.210000000000008</v>
      </c>
      <c r="E301" s="195">
        <f t="shared" si="24"/>
        <v>173.05555555555554</v>
      </c>
      <c r="F301" s="303"/>
      <c r="G301" s="261">
        <f>$M293+$L293*A301+$K293*B301+$J293*C301+$I293*D301+$H293*E301</f>
        <v>1.1366886754473702</v>
      </c>
      <c r="H301" s="265" t="s">
        <v>93</v>
      </c>
      <c r="I301" s="266"/>
      <c r="K301" s="267" t="s">
        <v>205</v>
      </c>
      <c r="L301" s="317"/>
      <c r="M301" s="317"/>
      <c r="O301" s="276" t="s">
        <v>186</v>
      </c>
      <c r="P301" s="319">
        <v>15</v>
      </c>
      <c r="Q301" s="319">
        <v>23.888888888888889</v>
      </c>
      <c r="R301" s="276" t="s">
        <v>186</v>
      </c>
      <c r="S301" s="334">
        <f>P301</f>
        <v>15</v>
      </c>
      <c r="T301" s="334">
        <f>Q301</f>
        <v>23.888888888888889</v>
      </c>
      <c r="U301" s="276" t="s">
        <v>186</v>
      </c>
      <c r="V301" s="334">
        <f>P301</f>
        <v>15</v>
      </c>
      <c r="W301" s="334">
        <f>Q301</f>
        <v>23.888888888888889</v>
      </c>
      <c r="Z301" s="111">
        <f t="shared" si="32"/>
        <v>19.444444444444443</v>
      </c>
      <c r="AA301" s="112">
        <f t="shared" si="25"/>
        <v>378.08641975308637</v>
      </c>
      <c r="AB301" s="111">
        <f>AB300</f>
        <v>29.449999999999996</v>
      </c>
      <c r="AC301" s="112">
        <f t="shared" si="30"/>
        <v>867.30249999999978</v>
      </c>
      <c r="AD301" s="195">
        <f t="shared" si="26"/>
        <v>572.6388888888888</v>
      </c>
      <c r="AE301" s="303"/>
      <c r="AF301" s="261">
        <f>$M293+$L293*Z301+$K293*AA301+$J293*AB301+$I293*AC301+$H293*AD301</f>
        <v>1.1366924552158482</v>
      </c>
      <c r="AG301" s="335" t="s">
        <v>93</v>
      </c>
      <c r="AH301" s="336"/>
      <c r="AJ301" s="337" t="s">
        <v>205</v>
      </c>
      <c r="AK301" s="317"/>
      <c r="AL301" s="317"/>
      <c r="AN301" s="338" t="s">
        <v>220</v>
      </c>
      <c r="AO301" s="338" t="s">
        <v>95</v>
      </c>
      <c r="AP301" s="338" t="s">
        <v>221</v>
      </c>
    </row>
    <row r="302" spans="1:44" x14ac:dyDescent="0.25">
      <c r="A302" s="111">
        <f t="shared" si="31"/>
        <v>23.888888888888889</v>
      </c>
      <c r="B302" s="112">
        <f t="shared" si="23"/>
        <v>570.67901234567898</v>
      </c>
      <c r="C302" s="111">
        <f>C301</f>
        <v>8.9</v>
      </c>
      <c r="D302" s="112">
        <f t="shared" si="29"/>
        <v>79.210000000000008</v>
      </c>
      <c r="E302" s="195">
        <f t="shared" si="24"/>
        <v>212.61111111111111</v>
      </c>
      <c r="F302" s="303"/>
      <c r="G302" s="261">
        <f>$M293+$L293*A302+$K293*B302+$J293*C302+$I293*D302+$H293*E302</f>
        <v>1.3265763182175925</v>
      </c>
      <c r="H302" s="267"/>
      <c r="I302" s="266" t="s">
        <v>206</v>
      </c>
      <c r="K302" s="317" t="str">
        <f>$A$293&amp;" = "&amp;ROUND(A294,1)</f>
        <v>Wbent (X) = 15</v>
      </c>
      <c r="L302" s="317"/>
      <c r="M302" s="317"/>
      <c r="O302" s="276" t="s">
        <v>188</v>
      </c>
      <c r="P302" s="319">
        <v>-5</v>
      </c>
      <c r="Q302" s="319">
        <v>22.8</v>
      </c>
      <c r="R302" s="276"/>
      <c r="S302" s="319"/>
      <c r="T302" s="319"/>
      <c r="U302" s="276" t="s">
        <v>188</v>
      </c>
      <c r="V302" s="319">
        <v>16.100000000000001</v>
      </c>
      <c r="W302" s="319">
        <v>42.8</v>
      </c>
      <c r="Z302" s="111">
        <f t="shared" si="32"/>
        <v>23.888888888888889</v>
      </c>
      <c r="AA302" s="112">
        <f t="shared" si="25"/>
        <v>570.67901234567898</v>
      </c>
      <c r="AB302" s="111">
        <f>AB301</f>
        <v>29.449999999999996</v>
      </c>
      <c r="AC302" s="112">
        <f t="shared" si="30"/>
        <v>867.30249999999978</v>
      </c>
      <c r="AD302" s="195">
        <f t="shared" si="26"/>
        <v>703.52777777777771</v>
      </c>
      <c r="AE302" s="303"/>
      <c r="AF302" s="261">
        <f>$M293+$L293*Z302+$K293*AA302+$J293*AB302+$I293*AC302+$H293*AD302</f>
        <v>1.3265790473787371</v>
      </c>
      <c r="AG302" s="267"/>
      <c r="AH302" s="268" t="s">
        <v>206</v>
      </c>
      <c r="AJ302" s="317" t="str">
        <f>$C$221&amp;" = "&amp;ROUND(AB294,1)</f>
        <v>Toa (Y) = 16.1</v>
      </c>
      <c r="AK302" s="317"/>
      <c r="AL302" s="317"/>
      <c r="AN302" s="339">
        <f>S296</f>
        <v>-1.416595E-2</v>
      </c>
      <c r="AO302" s="339">
        <f>S295</f>
        <v>-3.1500430000000003E-2</v>
      </c>
      <c r="AP302" s="339">
        <f>S294</f>
        <v>25.734737750000001</v>
      </c>
    </row>
    <row r="303" spans="1:44" x14ac:dyDescent="0.25">
      <c r="A303" s="111">
        <f t="shared" si="31"/>
        <v>15</v>
      </c>
      <c r="B303" s="112">
        <f t="shared" si="23"/>
        <v>225</v>
      </c>
      <c r="C303" s="260">
        <f>C300+0.25*(C312-B312)</f>
        <v>15.850000000000001</v>
      </c>
      <c r="D303" s="112">
        <f t="shared" si="29"/>
        <v>251.22250000000005</v>
      </c>
      <c r="E303" s="195">
        <f t="shared" si="24"/>
        <v>237.75000000000003</v>
      </c>
      <c r="F303" s="303"/>
      <c r="G303" s="261">
        <f>$M293+$L293*A303+$K293*B303+$J293*C303+$I293*D303+$H293*E303</f>
        <v>0.96984431690468631</v>
      </c>
      <c r="H303" s="268" t="s">
        <v>124</v>
      </c>
      <c r="I303" s="269">
        <f t="shared" ref="I303:I308" si="33">P294</f>
        <v>0.57685647699999998</v>
      </c>
      <c r="K303" s="317" t="str">
        <f>$A$293&amp;" = "&amp;ROUND(A295,1)</f>
        <v>Wbent (X) = 19.4</v>
      </c>
      <c r="L303" s="317"/>
      <c r="M303" s="317"/>
      <c r="Z303" s="111">
        <f t="shared" si="32"/>
        <v>15</v>
      </c>
      <c r="AA303" s="112">
        <f t="shared" si="25"/>
        <v>225</v>
      </c>
      <c r="AB303" s="260">
        <f>AB300+0.25*(AB312-AA312)</f>
        <v>36.124999999999993</v>
      </c>
      <c r="AC303" s="112">
        <f t="shared" si="30"/>
        <v>1305.0156249999995</v>
      </c>
      <c r="AD303" s="195">
        <f t="shared" si="26"/>
        <v>541.87499999999989</v>
      </c>
      <c r="AE303" s="303"/>
      <c r="AF303" s="261">
        <f>$M293+$L293*Z303+$K293*AA303+$J293*AB303+$I293*AC303+$H293*AD303</f>
        <v>0.96985118627143496</v>
      </c>
      <c r="AG303" s="268" t="s">
        <v>124</v>
      </c>
      <c r="AH303" s="269">
        <f t="shared" ref="AH303:AH308" si="34">V294</f>
        <v>0.68615510000000002</v>
      </c>
      <c r="AJ303" s="317" t="str">
        <f>$C$221&amp;" = "&amp;ROUND(AB297,1)</f>
        <v>Toa (Y) = 22.8</v>
      </c>
      <c r="AK303" s="317"/>
      <c r="AL303" s="317"/>
      <c r="AN303" s="338" t="s">
        <v>187</v>
      </c>
      <c r="AO303" s="340" t="s">
        <v>222</v>
      </c>
      <c r="AP303" s="340" t="s">
        <v>223</v>
      </c>
    </row>
    <row r="304" spans="1:44" ht="15.75" customHeight="1" x14ac:dyDescent="0.25">
      <c r="A304" s="111">
        <f t="shared" si="31"/>
        <v>19.444444444444443</v>
      </c>
      <c r="B304" s="112">
        <f t="shared" si="23"/>
        <v>378.08641975308637</v>
      </c>
      <c r="C304" s="111">
        <f>C303</f>
        <v>15.850000000000001</v>
      </c>
      <c r="D304" s="112">
        <f t="shared" si="29"/>
        <v>251.22250000000005</v>
      </c>
      <c r="E304" s="195">
        <f t="shared" si="24"/>
        <v>308.19444444444446</v>
      </c>
      <c r="F304" s="303"/>
      <c r="G304" s="261">
        <f>$M293+$L293*A304+$K293*B304+$J293*C304+$I293*D304+$H293*E304</f>
        <v>1.1366892339896495</v>
      </c>
      <c r="H304" s="268" t="s">
        <v>125</v>
      </c>
      <c r="I304" s="269">
        <f t="shared" si="33"/>
        <v>1.7450222000000001E-2</v>
      </c>
      <c r="K304" s="317" t="str">
        <f>$A$293&amp;" = "&amp;ROUND(A296,1)</f>
        <v>Wbent (X) = 23.9</v>
      </c>
      <c r="L304" s="317"/>
      <c r="M304" s="317"/>
      <c r="O304" s="164" t="s">
        <v>102</v>
      </c>
      <c r="P304" s="164"/>
      <c r="Q304" s="164"/>
      <c r="R304" s="164" t="s">
        <v>102</v>
      </c>
      <c r="S304" s="164"/>
      <c r="T304" s="164"/>
      <c r="U304" s="341" t="s">
        <v>102</v>
      </c>
      <c r="V304" s="341"/>
      <c r="W304" s="341"/>
      <c r="Z304" s="111">
        <f t="shared" si="32"/>
        <v>19.444444444444443</v>
      </c>
      <c r="AA304" s="112">
        <f t="shared" si="25"/>
        <v>378.08641975308637</v>
      </c>
      <c r="AB304" s="111">
        <f>AB303</f>
        <v>36.124999999999993</v>
      </c>
      <c r="AC304" s="112">
        <f t="shared" si="30"/>
        <v>1305.0156249999995</v>
      </c>
      <c r="AD304" s="195">
        <f t="shared" si="26"/>
        <v>702.43055555555532</v>
      </c>
      <c r="AE304" s="303"/>
      <c r="AF304" s="261">
        <f>$M293+$L293*Z304+$K293*AA304+$J293*AB304+$I293*AC304+$H293*AD304</f>
        <v>1.1366950668082869</v>
      </c>
      <c r="AG304" s="268" t="s">
        <v>125</v>
      </c>
      <c r="AH304" s="269">
        <f t="shared" si="34"/>
        <v>2.0786900000000001E-2</v>
      </c>
      <c r="AJ304" s="317" t="str">
        <f>$C$221&amp;" = "&amp;ROUND(AB300,1)</f>
        <v>Toa (Y) = 29.5</v>
      </c>
      <c r="AK304" s="317"/>
      <c r="AL304" s="317"/>
      <c r="AN304" s="333">
        <f>AB294</f>
        <v>16.100000000000001</v>
      </c>
      <c r="AO304" s="196">
        <f>(-$AO$302+($AO$302^2-4*$AN$302*($AP$302-AN304))^0.5)/2/$AN$302</f>
        <v>-27.214895750104272</v>
      </c>
      <c r="AP304" s="196">
        <f>(-$AO$302-($AO$302^2-4*$AN$302*($AP$302-AN304))^0.5)/2/$AN$302</f>
        <v>24.991223493743068</v>
      </c>
    </row>
    <row r="305" spans="1:69" x14ac:dyDescent="0.25">
      <c r="A305" s="111">
        <f t="shared" si="31"/>
        <v>23.888888888888889</v>
      </c>
      <c r="B305" s="112">
        <f t="shared" si="23"/>
        <v>570.67901234567898</v>
      </c>
      <c r="C305" s="111">
        <f>C304</f>
        <v>15.850000000000001</v>
      </c>
      <c r="D305" s="112">
        <f t="shared" si="29"/>
        <v>251.22250000000005</v>
      </c>
      <c r="E305" s="195">
        <f t="shared" si="24"/>
        <v>378.63888888888891</v>
      </c>
      <c r="F305" s="303"/>
      <c r="G305" s="261">
        <f>$M293+$L293*A305+$K293*B305+$J293*C305+$I293*D305+$H293*E305</f>
        <v>1.3265765214449829</v>
      </c>
      <c r="H305" s="268" t="s">
        <v>126</v>
      </c>
      <c r="I305" s="269">
        <f t="shared" si="33"/>
        <v>5.8326000000000005E-4</v>
      </c>
      <c r="K305" s="317"/>
      <c r="L305" s="317"/>
      <c r="M305" s="317"/>
      <c r="O305" s="207" t="s">
        <v>216</v>
      </c>
      <c r="P305" s="169"/>
      <c r="Q305" s="170"/>
      <c r="R305" s="168" t="s">
        <v>224</v>
      </c>
      <c r="S305" s="205"/>
      <c r="T305" s="206"/>
      <c r="U305" s="207" t="s">
        <v>218</v>
      </c>
      <c r="V305" s="169"/>
      <c r="W305" s="170"/>
      <c r="Z305" s="111">
        <f t="shared" si="32"/>
        <v>23.888888888888889</v>
      </c>
      <c r="AA305" s="112">
        <f t="shared" si="25"/>
        <v>570.67901234567898</v>
      </c>
      <c r="AB305" s="111">
        <f>AB304</f>
        <v>36.124999999999993</v>
      </c>
      <c r="AC305" s="112">
        <f t="shared" si="30"/>
        <v>1305.0156249999995</v>
      </c>
      <c r="AD305" s="195">
        <f t="shared" si="26"/>
        <v>862.98611111111097</v>
      </c>
      <c r="AE305" s="303"/>
      <c r="AF305" s="261">
        <f>$M293+$L293*Z305+$K293*AA305+$J293*AB305+$I293*AC305+$H293*AD305</f>
        <v>1.3265813177155092</v>
      </c>
      <c r="AG305" s="268" t="s">
        <v>126</v>
      </c>
      <c r="AH305" s="269">
        <f t="shared" si="34"/>
        <v>5.4449999999999995E-4</v>
      </c>
      <c r="AJ305" s="317" t="str">
        <f>$C$221&amp;" = "&amp;ROUND(AB303,1)</f>
        <v>Toa (Y) = 36.1</v>
      </c>
      <c r="AK305" s="317"/>
      <c r="AL305" s="317"/>
      <c r="AN305" s="156">
        <f>AB297</f>
        <v>22.774999999999999</v>
      </c>
      <c r="AO305" s="196">
        <f>(-$AO$302+($AO$302^2-4*$AN$302*($AP$302-AN305))^0.5)/2/$AN$302</f>
        <v>-15.609057028940381</v>
      </c>
      <c r="AP305" s="196">
        <f>(-$AO$302-($AO$302^2-4*$AN$302*($AP$302-AN305))^0.5)/2/$AN$302</f>
        <v>13.385384772579176</v>
      </c>
      <c r="AU305" s="270"/>
    </row>
    <row r="306" spans="1:69" ht="30" x14ac:dyDescent="0.25">
      <c r="A306" s="111">
        <f t="shared" si="31"/>
        <v>15</v>
      </c>
      <c r="B306" s="112">
        <f t="shared" si="23"/>
        <v>225</v>
      </c>
      <c r="C306" s="260">
        <f>C303+0.25*(C312-B312)</f>
        <v>22.8</v>
      </c>
      <c r="D306" s="112">
        <f t="shared" si="29"/>
        <v>519.84</v>
      </c>
      <c r="E306" s="195">
        <f t="shared" si="24"/>
        <v>342</v>
      </c>
      <c r="F306" s="303"/>
      <c r="G306" s="261">
        <f>$M293+$L293*A306+$K293*B306+$J293*C306+$I293*D306+$H293*E306</f>
        <v>0.96984596641279353</v>
      </c>
      <c r="H306" s="268" t="s">
        <v>127</v>
      </c>
      <c r="I306" s="269">
        <f t="shared" si="33"/>
        <v>1.15563E-7</v>
      </c>
      <c r="K306" s="317"/>
      <c r="L306" s="317"/>
      <c r="M306" s="317"/>
      <c r="O306" s="174" t="s">
        <v>225</v>
      </c>
      <c r="P306" s="302" t="s">
        <v>175</v>
      </c>
      <c r="Q306" s="174" t="s">
        <v>198</v>
      </c>
      <c r="R306" s="174" t="s">
        <v>197</v>
      </c>
      <c r="S306" s="302" t="s">
        <v>175</v>
      </c>
      <c r="T306" s="174"/>
      <c r="U306" s="174" t="s">
        <v>225</v>
      </c>
      <c r="V306" s="302" t="s">
        <v>175</v>
      </c>
      <c r="W306" s="174" t="s">
        <v>198</v>
      </c>
      <c r="Z306" s="111">
        <f t="shared" si="32"/>
        <v>15</v>
      </c>
      <c r="AA306" s="112">
        <f t="shared" si="25"/>
        <v>225</v>
      </c>
      <c r="AB306" s="260">
        <f>AB303+0.25*(AB312-AA312)</f>
        <v>42.79999999999999</v>
      </c>
      <c r="AC306" s="112">
        <f t="shared" si="30"/>
        <v>1831.8399999999992</v>
      </c>
      <c r="AD306" s="195">
        <f t="shared" si="26"/>
        <v>641.99999999999989</v>
      </c>
      <c r="AE306" s="303"/>
      <c r="AF306" s="261">
        <f>$M293+$L293*Z306+$K293*AA306+$J293*AB306+$I293*AC306+$H293*AD306</f>
        <v>0.96985481770527349</v>
      </c>
      <c r="AG306" s="268" t="s">
        <v>127</v>
      </c>
      <c r="AH306" s="269">
        <f t="shared" si="34"/>
        <v>-1.6098E-3</v>
      </c>
      <c r="AJ306" s="317" t="str">
        <f>$C$221&amp;" = "&amp;ROUND(AB306,1)</f>
        <v>Toa (Y) = 42.8</v>
      </c>
      <c r="AK306" s="317"/>
      <c r="AL306" s="317"/>
      <c r="AN306" s="156">
        <f>AB300</f>
        <v>29.449999999999996</v>
      </c>
      <c r="AO306" s="196" t="e">
        <f>(-$AO$302+($AO$302^2-4*$AN$302*($AP$302-AN306))^0.5)/2/$AN$302</f>
        <v>#NUM!</v>
      </c>
      <c r="AP306" s="196" t="e">
        <f>(-$AO$302-($AO$302^2-4*$AN$302*($AP$302-AN306))^0.5)/2/$AN$302</f>
        <v>#NUM!</v>
      </c>
    </row>
    <row r="307" spans="1:69" x14ac:dyDescent="0.25">
      <c r="A307" s="111">
        <f t="shared" si="31"/>
        <v>19.444444444444443</v>
      </c>
      <c r="B307" s="112">
        <f t="shared" si="23"/>
        <v>378.08641975308637</v>
      </c>
      <c r="C307" s="111">
        <f>C306</f>
        <v>22.8</v>
      </c>
      <c r="D307" s="112">
        <f t="shared" si="29"/>
        <v>519.84</v>
      </c>
      <c r="E307" s="195">
        <f t="shared" si="24"/>
        <v>443.33333333333331</v>
      </c>
      <c r="F307" s="303"/>
      <c r="G307" s="261">
        <f>$M293+$L293*A307+$K293*B307+$J293*C307+$I293*D307+$H293*E307</f>
        <v>1.1366905281828676</v>
      </c>
      <c r="H307" s="268" t="s">
        <v>179</v>
      </c>
      <c r="I307" s="269">
        <f t="shared" si="33"/>
        <v>7.6150400000000002E-9</v>
      </c>
      <c r="K307" s="321"/>
      <c r="L307" s="321"/>
      <c r="M307" s="321"/>
      <c r="O307" s="309" t="s">
        <v>124</v>
      </c>
      <c r="P307" s="310">
        <v>0.57685647699999998</v>
      </c>
      <c r="Q307" s="342"/>
      <c r="R307" s="215" t="s">
        <v>124</v>
      </c>
      <c r="S307" s="322">
        <v>25.734737750000001</v>
      </c>
      <c r="T307" s="143"/>
      <c r="U307" s="312" t="s">
        <v>124</v>
      </c>
      <c r="V307" s="310">
        <v>0.68615510000000002</v>
      </c>
      <c r="W307" s="311"/>
      <c r="Z307" s="111">
        <f t="shared" si="32"/>
        <v>19.444444444444443</v>
      </c>
      <c r="AA307" s="112">
        <f t="shared" si="25"/>
        <v>378.08641975308637</v>
      </c>
      <c r="AB307" s="111">
        <f>AB306</f>
        <v>42.79999999999999</v>
      </c>
      <c r="AC307" s="112">
        <f t="shared" si="30"/>
        <v>1831.8399999999992</v>
      </c>
      <c r="AD307" s="195">
        <f t="shared" si="26"/>
        <v>832.22222222222194</v>
      </c>
      <c r="AE307" s="303"/>
      <c r="AF307" s="261">
        <f>$M293+$L293*Z307+$K293*AA307+$J293*AB307+$I293*AC307+$H293*AD307</f>
        <v>1.1366983569864588</v>
      </c>
      <c r="AG307" s="268" t="s">
        <v>179</v>
      </c>
      <c r="AH307" s="269">
        <f t="shared" si="34"/>
        <v>-6.2539999999999998E-7</v>
      </c>
      <c r="AJ307" s="321"/>
      <c r="AK307" s="321"/>
      <c r="AL307" s="321"/>
      <c r="AN307" s="156">
        <f>AB303</f>
        <v>36.124999999999993</v>
      </c>
      <c r="AO307" s="196" t="e">
        <f>(-$AO$302+($AO$302^2-4*$AN$302*($AP$302-AN307))^0.5)/2/$AN$302</f>
        <v>#NUM!</v>
      </c>
      <c r="AP307" s="196" t="e">
        <f>(-$AO$302-($AO$302^2-4*$AN$302*($AP$302-AN307))^0.5)/2/$AN$302</f>
        <v>#NUM!</v>
      </c>
    </row>
    <row r="308" spans="1:69" x14ac:dyDescent="0.25">
      <c r="A308" s="111">
        <f t="shared" si="31"/>
        <v>23.888888888888889</v>
      </c>
      <c r="B308" s="112">
        <f t="shared" si="23"/>
        <v>570.67901234567898</v>
      </c>
      <c r="C308" s="111">
        <f>C307</f>
        <v>22.8</v>
      </c>
      <c r="D308" s="112">
        <v>1427.1604938271605</v>
      </c>
      <c r="E308" s="195">
        <f t="shared" si="24"/>
        <v>544.66666666666674</v>
      </c>
      <c r="F308" s="303"/>
      <c r="G308" s="261">
        <f>$M293+$L293*A308+$K293*B308+$J293*C308+$I293*D308+$H293*E308</f>
        <v>1.3265843696051656</v>
      </c>
      <c r="H308" s="268" t="s">
        <v>180</v>
      </c>
      <c r="I308" s="269">
        <f t="shared" si="33"/>
        <v>-1.1503E-8</v>
      </c>
      <c r="K308" s="317"/>
      <c r="L308" s="317"/>
      <c r="M308" s="317"/>
      <c r="O308" s="309" t="s">
        <v>125</v>
      </c>
      <c r="P308" s="310">
        <v>1.7450222000000001E-2</v>
      </c>
      <c r="Q308" s="343"/>
      <c r="R308" s="215" t="s">
        <v>125</v>
      </c>
      <c r="S308" s="322">
        <v>-3.1500430000000003E-2</v>
      </c>
      <c r="T308" s="143"/>
      <c r="U308" s="312" t="s">
        <v>125</v>
      </c>
      <c r="V308" s="310">
        <v>2.0786900000000001E-2</v>
      </c>
      <c r="W308" s="313"/>
      <c r="Z308" s="111">
        <f t="shared" si="32"/>
        <v>23.888888888888889</v>
      </c>
      <c r="AA308" s="112">
        <f t="shared" si="25"/>
        <v>570.67901234567898</v>
      </c>
      <c r="AB308" s="111">
        <f>AB307</f>
        <v>42.79999999999999</v>
      </c>
      <c r="AC308" s="112">
        <v>1427.1604938271605</v>
      </c>
      <c r="AD308" s="195">
        <f t="shared" si="26"/>
        <v>1022.4444444444442</v>
      </c>
      <c r="AE308" s="303"/>
      <c r="AF308" s="261">
        <f>$M293+$L293*Z308+$K293*AA308+$J293*AB308+$I293*AC308+$H293*AD308</f>
        <v>1.3265811849873879</v>
      </c>
      <c r="AG308" s="268" t="s">
        <v>180</v>
      </c>
      <c r="AH308" s="269">
        <f t="shared" si="34"/>
        <v>-3.39E-4</v>
      </c>
      <c r="AJ308" s="317"/>
      <c r="AK308" s="317"/>
      <c r="AL308" s="317"/>
      <c r="AN308" s="156">
        <f>AB306</f>
        <v>42.79999999999999</v>
      </c>
      <c r="AO308" s="196" t="e">
        <f>(-$AO$302+($AO$302^2-4*$AN$302*($AP$302-AN308))^0.5)/2/$AN$302</f>
        <v>#NUM!</v>
      </c>
      <c r="AP308" s="196" t="e">
        <f>(-$AO$302-($AO$302^2-4*$AN$302*($AP$302-AN308))^0.5)/2/$AN$302</f>
        <v>#NUM!</v>
      </c>
      <c r="AQ308" s="272"/>
    </row>
    <row r="309" spans="1:69" x14ac:dyDescent="0.25">
      <c r="A309" s="160"/>
      <c r="B309" s="161"/>
      <c r="G309" s="160"/>
      <c r="H309" s="282"/>
      <c r="O309" s="309" t="s">
        <v>126</v>
      </c>
      <c r="P309" s="315">
        <v>5.8326000000000005E-4</v>
      </c>
      <c r="Q309" s="343"/>
      <c r="R309" s="215" t="s">
        <v>126</v>
      </c>
      <c r="S309" s="322">
        <v>-1.416595E-2</v>
      </c>
      <c r="T309" s="143"/>
      <c r="U309" s="312" t="s">
        <v>126</v>
      </c>
      <c r="V309" s="315">
        <v>5.4449999999999995E-4</v>
      </c>
      <c r="W309" s="313"/>
      <c r="Z309" s="160"/>
      <c r="AA309" s="161"/>
      <c r="AF309" s="160"/>
      <c r="AG309" s="282"/>
    </row>
    <row r="310" spans="1:69" x14ac:dyDescent="0.25">
      <c r="A310" s="274"/>
      <c r="B310" s="275" t="s">
        <v>183</v>
      </c>
      <c r="C310" s="275" t="s">
        <v>184</v>
      </c>
      <c r="H310" s="87"/>
      <c r="O310" s="309" t="s">
        <v>127</v>
      </c>
      <c r="P310" s="310">
        <v>1.15563E-7</v>
      </c>
      <c r="Q310" s="343"/>
      <c r="R310" s="215"/>
      <c r="S310" s="322"/>
      <c r="T310" s="143"/>
      <c r="U310" s="312" t="s">
        <v>127</v>
      </c>
      <c r="V310" s="310">
        <v>-1.6098E-3</v>
      </c>
      <c r="W310" s="313"/>
      <c r="Z310" s="274"/>
      <c r="AA310" s="275" t="s">
        <v>183</v>
      </c>
      <c r="AB310" s="275" t="s">
        <v>184</v>
      </c>
      <c r="AG310" s="87"/>
      <c r="AN310" s="111">
        <v>0</v>
      </c>
      <c r="AO310" s="196">
        <f>AN310^2</f>
        <v>0</v>
      </c>
      <c r="AP310" s="196">
        <f>AN310^3</f>
        <v>0</v>
      </c>
      <c r="AQ310" s="333">
        <f>$B$95+AN310*$B$96+AO310*$B$97++AP310*$B$98</f>
        <v>1.19248</v>
      </c>
    </row>
    <row r="311" spans="1:69" x14ac:dyDescent="0.25">
      <c r="A311" s="274" t="s">
        <v>186</v>
      </c>
      <c r="B311" s="277">
        <f>P301</f>
        <v>15</v>
      </c>
      <c r="C311" s="277">
        <f>Q301</f>
        <v>23.888888888888889</v>
      </c>
      <c r="H311" s="278"/>
      <c r="O311" s="309" t="s">
        <v>179</v>
      </c>
      <c r="P311" s="315">
        <v>7.6150400000000002E-9</v>
      </c>
      <c r="Q311" s="343"/>
      <c r="R311" s="215"/>
      <c r="S311" s="322"/>
      <c r="T311" s="143"/>
      <c r="U311" s="312" t="s">
        <v>179</v>
      </c>
      <c r="V311" s="315">
        <v>-6.2539999999999998E-7</v>
      </c>
      <c r="W311" s="313"/>
      <c r="Z311" s="274" t="s">
        <v>186</v>
      </c>
      <c r="AA311" s="277">
        <f>V301</f>
        <v>15</v>
      </c>
      <c r="AB311" s="277">
        <f>W301</f>
        <v>23.888888888888889</v>
      </c>
      <c r="AG311" s="278"/>
      <c r="AO311" s="339"/>
      <c r="AP311" s="339"/>
      <c r="BH311" s="142"/>
      <c r="BI311" s="142"/>
      <c r="BJ311" s="142"/>
      <c r="BK311" s="142"/>
      <c r="BL311" s="142"/>
      <c r="BM311" s="142"/>
      <c r="BN311" s="142"/>
      <c r="BO311" s="142"/>
      <c r="BP311" s="142"/>
      <c r="BQ311" s="142"/>
    </row>
    <row r="312" spans="1:69" x14ac:dyDescent="0.25">
      <c r="A312" s="274" t="s">
        <v>188</v>
      </c>
      <c r="B312" s="277">
        <f>P302</f>
        <v>-5</v>
      </c>
      <c r="C312" s="277">
        <f>Q302</f>
        <v>22.8</v>
      </c>
      <c r="H312" s="278"/>
      <c r="O312" s="309" t="s">
        <v>180</v>
      </c>
      <c r="P312" s="315">
        <v>-1.1503E-8</v>
      </c>
      <c r="Q312" s="343"/>
      <c r="R312" s="215"/>
      <c r="S312" s="322"/>
      <c r="T312" s="143"/>
      <c r="U312" s="312" t="s">
        <v>180</v>
      </c>
      <c r="V312" s="315">
        <v>-3.39E-4</v>
      </c>
      <c r="W312" s="313"/>
      <c r="Z312" s="274" t="s">
        <v>188</v>
      </c>
      <c r="AA312" s="277">
        <f>V302</f>
        <v>16.100000000000001</v>
      </c>
      <c r="AB312" s="277">
        <f>W302</f>
        <v>42.8</v>
      </c>
      <c r="AG312" s="278"/>
      <c r="AO312" s="339"/>
      <c r="AP312" s="344"/>
      <c r="BH312" s="142"/>
      <c r="BI312" s="142"/>
      <c r="BJ312" s="142"/>
      <c r="BK312" s="142"/>
      <c r="BL312" s="142"/>
      <c r="BM312" s="142"/>
      <c r="BN312" s="142"/>
      <c r="BO312" s="142"/>
      <c r="BP312" s="142"/>
      <c r="BQ312" s="142"/>
    </row>
    <row r="313" spans="1:69" x14ac:dyDescent="0.25">
      <c r="B313" s="160"/>
      <c r="E313" s="323"/>
      <c r="G313" s="160"/>
      <c r="H313" s="278"/>
      <c r="O313" s="274"/>
      <c r="P313" s="275" t="s">
        <v>183</v>
      </c>
      <c r="Q313" s="345" t="s">
        <v>184</v>
      </c>
      <c r="R313" s="324"/>
      <c r="S313" s="259" t="s">
        <v>183</v>
      </c>
      <c r="T313" s="259" t="s">
        <v>184</v>
      </c>
      <c r="U313" s="318"/>
      <c r="V313" s="275" t="s">
        <v>183</v>
      </c>
      <c r="W313" s="275" t="s">
        <v>184</v>
      </c>
      <c r="AA313" s="160"/>
      <c r="AD313" s="323"/>
      <c r="AF313" s="160"/>
      <c r="AG313" s="278"/>
      <c r="AO313" s="344"/>
      <c r="BH313" s="142"/>
      <c r="BI313" s="142"/>
      <c r="BJ313" s="142"/>
      <c r="BK313" s="142"/>
      <c r="BL313" s="142"/>
      <c r="BM313" s="142"/>
      <c r="BN313" s="142"/>
      <c r="BO313" s="142"/>
      <c r="BP313" s="142"/>
      <c r="BQ313" s="142"/>
    </row>
    <row r="314" spans="1:69" x14ac:dyDescent="0.25">
      <c r="O314" s="280" t="s">
        <v>186</v>
      </c>
      <c r="P314" s="281">
        <v>15</v>
      </c>
      <c r="Q314" s="346">
        <v>23.888888888888889</v>
      </c>
      <c r="R314" s="324" t="s">
        <v>186</v>
      </c>
      <c r="S314" s="347">
        <v>11</v>
      </c>
      <c r="T314" s="347">
        <v>30</v>
      </c>
      <c r="U314" s="320" t="s">
        <v>186</v>
      </c>
      <c r="V314" s="281">
        <v>15</v>
      </c>
      <c r="W314" s="281">
        <v>23.888888888888889</v>
      </c>
      <c r="AO314" s="339"/>
      <c r="BH314" s="142"/>
      <c r="BI314" s="142"/>
      <c r="BJ314" s="142"/>
      <c r="BK314" s="142"/>
      <c r="BL314" s="142"/>
      <c r="BM314" s="142"/>
      <c r="BN314" s="142"/>
      <c r="BO314" s="142"/>
      <c r="BP314" s="142"/>
      <c r="BQ314" s="142"/>
    </row>
    <row r="315" spans="1:69" x14ac:dyDescent="0.25">
      <c r="A315" s="160"/>
      <c r="B315" s="161"/>
      <c r="G315" s="160"/>
      <c r="O315" s="280" t="s">
        <v>188</v>
      </c>
      <c r="P315" s="347">
        <v>-5</v>
      </c>
      <c r="Q315" s="347">
        <v>22.8</v>
      </c>
      <c r="R315" s="324"/>
      <c r="S315" s="347"/>
      <c r="T315" s="347"/>
      <c r="U315" s="324" t="s">
        <v>188</v>
      </c>
      <c r="V315" s="347">
        <v>16.100000000000001</v>
      </c>
      <c r="W315" s="347">
        <v>42.8</v>
      </c>
      <c r="AO315" s="344"/>
      <c r="BH315" s="142"/>
      <c r="BI315" s="306"/>
      <c r="BJ315" s="326"/>
      <c r="BK315" s="326"/>
      <c r="BL315" s="326"/>
      <c r="BM315" s="326"/>
      <c r="BN315" s="326"/>
      <c r="BO315" s="326"/>
      <c r="BP315" s="326"/>
      <c r="BQ315" s="142"/>
    </row>
    <row r="316" spans="1:69" x14ac:dyDescent="0.25">
      <c r="A316" s="160"/>
      <c r="B316" s="161"/>
      <c r="G316" s="160"/>
      <c r="R316" s="142"/>
      <c r="S316" s="188"/>
      <c r="T316" s="348"/>
      <c r="BH316" s="142"/>
      <c r="BI316" s="142"/>
      <c r="BJ316" s="142"/>
      <c r="BK316" s="142"/>
      <c r="BL316" s="142"/>
      <c r="BM316" s="142"/>
      <c r="BN316" s="142"/>
      <c r="BO316" s="142"/>
      <c r="BP316" s="142"/>
      <c r="BQ316" s="142"/>
    </row>
    <row r="317" spans="1:69" x14ac:dyDescent="0.25">
      <c r="B317" s="87"/>
      <c r="C317" s="87"/>
      <c r="D317" s="87"/>
      <c r="E317" s="87"/>
      <c r="F317" s="87"/>
      <c r="G317" s="87"/>
      <c r="H317" s="87"/>
      <c r="O317" s="164" t="s">
        <v>102</v>
      </c>
      <c r="P317" s="164"/>
      <c r="Q317" s="164"/>
      <c r="R317" s="164" t="s">
        <v>102</v>
      </c>
      <c r="S317" s="164"/>
      <c r="T317" s="164"/>
      <c r="U317" s="164" t="s">
        <v>102</v>
      </c>
      <c r="V317" s="164"/>
      <c r="W317" s="164"/>
      <c r="BH317" s="142"/>
      <c r="BI317" s="142"/>
      <c r="BJ317" s="142"/>
      <c r="BK317" s="142"/>
      <c r="BL317" s="142"/>
      <c r="BM317" s="142"/>
      <c r="BN317" s="142"/>
      <c r="BO317" s="142"/>
      <c r="BP317" s="142"/>
      <c r="BQ317" s="142"/>
    </row>
    <row r="318" spans="1:69" x14ac:dyDescent="0.25">
      <c r="B318" s="87"/>
      <c r="C318" s="87"/>
      <c r="D318" s="87"/>
      <c r="E318" s="87"/>
      <c r="F318" s="87"/>
      <c r="G318" s="87"/>
      <c r="H318" s="87"/>
      <c r="O318" s="207" t="s">
        <v>226</v>
      </c>
      <c r="P318" s="169"/>
      <c r="Q318" s="170"/>
      <c r="R318" s="168" t="s">
        <v>227</v>
      </c>
      <c r="S318" s="205"/>
      <c r="T318" s="206"/>
      <c r="U318" s="207" t="s">
        <v>228</v>
      </c>
      <c r="V318" s="169"/>
      <c r="W318" s="170"/>
      <c r="BH318" s="142"/>
      <c r="BI318" s="142"/>
      <c r="BJ318" s="142"/>
      <c r="BK318" s="142"/>
      <c r="BL318" s="142"/>
      <c r="BM318" s="142"/>
      <c r="BN318" s="142"/>
      <c r="BO318" s="142"/>
      <c r="BP318" s="142"/>
      <c r="BQ318" s="142"/>
    </row>
    <row r="319" spans="1:69" ht="30" x14ac:dyDescent="0.25">
      <c r="B319" s="87"/>
      <c r="C319" s="87"/>
      <c r="D319" s="87"/>
      <c r="E319" s="87"/>
      <c r="F319" s="349"/>
      <c r="G319" s="87"/>
      <c r="H319" s="87"/>
      <c r="O319" s="174" t="s">
        <v>225</v>
      </c>
      <c r="P319" s="302" t="s">
        <v>175</v>
      </c>
      <c r="Q319" s="174" t="s">
        <v>199</v>
      </c>
      <c r="R319" s="174" t="s">
        <v>197</v>
      </c>
      <c r="S319" s="302" t="s">
        <v>175</v>
      </c>
      <c r="T319" s="174"/>
      <c r="U319" s="174" t="s">
        <v>225</v>
      </c>
      <c r="V319" s="302" t="s">
        <v>175</v>
      </c>
      <c r="W319" s="174" t="s">
        <v>199</v>
      </c>
      <c r="BH319" s="142"/>
      <c r="BI319" s="188"/>
      <c r="BJ319" s="327"/>
      <c r="BK319" s="327"/>
      <c r="BL319" s="327"/>
      <c r="BM319" s="327"/>
      <c r="BN319" s="327"/>
      <c r="BO319" s="327"/>
      <c r="BP319" s="327"/>
      <c r="BQ319" s="142"/>
    </row>
    <row r="320" spans="1:69" x14ac:dyDescent="0.25">
      <c r="B320" s="87"/>
      <c r="C320" s="87"/>
      <c r="D320" s="87"/>
      <c r="E320" s="87"/>
      <c r="F320" s="349"/>
      <c r="G320" s="87"/>
      <c r="H320" s="87"/>
      <c r="O320" s="309" t="s">
        <v>124</v>
      </c>
      <c r="P320" s="310">
        <v>0.98901054099999997</v>
      </c>
      <c r="Q320" s="311"/>
      <c r="R320" s="215" t="s">
        <v>124</v>
      </c>
      <c r="S320" s="322">
        <v>25.734737750000001</v>
      </c>
      <c r="T320" s="143"/>
      <c r="U320" s="309" t="s">
        <v>124</v>
      </c>
      <c r="V320" s="310">
        <v>0.18293171</v>
      </c>
      <c r="W320" s="311"/>
      <c r="BH320" s="142"/>
      <c r="BI320" s="328"/>
      <c r="BJ320" s="329"/>
      <c r="BK320" s="329"/>
      <c r="BL320" s="329"/>
      <c r="BM320" s="329"/>
      <c r="BN320" s="329"/>
      <c r="BO320" s="329"/>
      <c r="BP320" s="329"/>
      <c r="BQ320" s="142"/>
    </row>
    <row r="321" spans="2:69" x14ac:dyDescent="0.25">
      <c r="B321" s="87"/>
      <c r="C321" s="87"/>
      <c r="D321" s="87"/>
      <c r="E321" s="87"/>
      <c r="F321" s="350"/>
      <c r="G321" s="87"/>
      <c r="H321" s="87"/>
      <c r="O321" s="309" t="s">
        <v>125</v>
      </c>
      <c r="P321" s="310">
        <v>-2.3479670000000001E-2</v>
      </c>
      <c r="Q321" s="313"/>
      <c r="R321" s="215" t="s">
        <v>125</v>
      </c>
      <c r="S321" s="322">
        <v>-3.1500430000000003E-2</v>
      </c>
      <c r="T321" s="143"/>
      <c r="U321" s="309" t="s">
        <v>125</v>
      </c>
      <c r="V321" s="310">
        <v>1.6354420000000001E-2</v>
      </c>
      <c r="W321" s="313"/>
      <c r="BH321" s="142"/>
      <c r="BI321" s="328"/>
      <c r="BJ321" s="329"/>
      <c r="BK321" s="329"/>
      <c r="BL321" s="329"/>
      <c r="BM321" s="329"/>
      <c r="BN321" s="329"/>
      <c r="BO321" s="329"/>
      <c r="BP321" s="329"/>
      <c r="BQ321" s="142"/>
    </row>
    <row r="322" spans="2:69" x14ac:dyDescent="0.25">
      <c r="B322" s="87"/>
      <c r="C322" s="87"/>
      <c r="D322" s="87"/>
      <c r="E322" s="87"/>
      <c r="F322" s="349"/>
      <c r="G322" s="87"/>
      <c r="H322" s="87"/>
      <c r="O322" s="309" t="s">
        <v>126</v>
      </c>
      <c r="P322" s="315">
        <v>1.9971100000000001E-4</v>
      </c>
      <c r="Q322" s="313"/>
      <c r="R322" s="215" t="s">
        <v>126</v>
      </c>
      <c r="S322" s="322">
        <v>-1.416595E-2</v>
      </c>
      <c r="T322" s="143"/>
      <c r="U322" s="309" t="s">
        <v>126</v>
      </c>
      <c r="V322" s="315">
        <v>-3.5050000000000001E-4</v>
      </c>
      <c r="W322" s="313"/>
      <c r="BH322" s="142"/>
      <c r="BI322" s="328"/>
      <c r="BJ322" s="329"/>
      <c r="BK322" s="329"/>
      <c r="BL322" s="329"/>
      <c r="BM322" s="329"/>
      <c r="BN322" s="329"/>
      <c r="BO322" s="329"/>
      <c r="BP322" s="329"/>
      <c r="BQ322" s="142"/>
    </row>
    <row r="323" spans="2:69" x14ac:dyDescent="0.25">
      <c r="B323" s="87"/>
      <c r="C323" s="87"/>
      <c r="D323" s="87"/>
      <c r="E323" s="87"/>
      <c r="F323" s="349"/>
      <c r="G323" s="87"/>
      <c r="H323" s="87"/>
      <c r="O323" s="309" t="s">
        <v>127</v>
      </c>
      <c r="P323" s="310">
        <v>5.9683360000000003E-3</v>
      </c>
      <c r="Q323" s="313"/>
      <c r="R323" s="215"/>
      <c r="S323" s="322"/>
      <c r="T323" s="143"/>
      <c r="U323" s="309" t="s">
        <v>127</v>
      </c>
      <c r="V323" s="310">
        <v>2.3756940000000001E-2</v>
      </c>
      <c r="W323" s="313"/>
      <c r="BH323" s="142"/>
      <c r="BI323" s="328"/>
      <c r="BJ323" s="329"/>
      <c r="BK323" s="329"/>
      <c r="BL323" s="329"/>
      <c r="BM323" s="329"/>
      <c r="BN323" s="329"/>
      <c r="BO323" s="329"/>
      <c r="BP323" s="329"/>
      <c r="BQ323" s="142"/>
    </row>
    <row r="324" spans="2:69" x14ac:dyDescent="0.25">
      <c r="B324" s="87"/>
      <c r="C324" s="87"/>
      <c r="D324" s="87"/>
      <c r="E324" s="87"/>
      <c r="F324" s="349"/>
      <c r="G324" s="87"/>
      <c r="H324" s="87"/>
      <c r="O324" s="309" t="s">
        <v>179</v>
      </c>
      <c r="P324" s="315">
        <v>-1.0289E-7</v>
      </c>
      <c r="Q324" s="313"/>
      <c r="R324" s="215"/>
      <c r="S324" s="322"/>
      <c r="T324" s="143"/>
      <c r="U324" s="309" t="s">
        <v>179</v>
      </c>
      <c r="V324" s="315">
        <v>1.7854000000000001E-4</v>
      </c>
      <c r="W324" s="313"/>
      <c r="BH324" s="142"/>
      <c r="BI324" s="328"/>
      <c r="BJ324" s="329"/>
      <c r="BK324" s="329"/>
      <c r="BL324" s="329"/>
      <c r="BM324" s="329"/>
      <c r="BN324" s="329"/>
      <c r="BO324" s="329"/>
      <c r="BP324" s="329"/>
      <c r="BQ324" s="142"/>
    </row>
    <row r="325" spans="2:69" x14ac:dyDescent="0.25">
      <c r="B325" s="87"/>
      <c r="C325" s="87"/>
      <c r="D325" s="87"/>
      <c r="E325" s="87"/>
      <c r="F325" s="87"/>
      <c r="G325" s="87"/>
      <c r="H325" s="87"/>
      <c r="O325" s="309" t="s">
        <v>180</v>
      </c>
      <c r="P325" s="315">
        <v>-1.5686000000000001E-4</v>
      </c>
      <c r="Q325" s="313"/>
      <c r="R325" s="215"/>
      <c r="S325" s="322"/>
      <c r="T325" s="143"/>
      <c r="U325" s="309" t="s">
        <v>180</v>
      </c>
      <c r="V325" s="315">
        <v>-6.177E-4</v>
      </c>
      <c r="W325" s="313"/>
      <c r="BG325" s="323"/>
      <c r="BH325" s="142"/>
      <c r="BI325" s="328"/>
      <c r="BJ325" s="329"/>
      <c r="BK325" s="329"/>
      <c r="BL325" s="329"/>
      <c r="BM325" s="329"/>
      <c r="BN325" s="329"/>
      <c r="BO325" s="329"/>
      <c r="BP325" s="329"/>
      <c r="BQ325" s="142"/>
    </row>
    <row r="326" spans="2:69" x14ac:dyDescent="0.25">
      <c r="B326" s="87"/>
      <c r="C326" s="87"/>
      <c r="D326" s="87"/>
      <c r="E326" s="87"/>
      <c r="F326" s="87"/>
      <c r="G326" s="87"/>
      <c r="H326" s="87"/>
      <c r="O326" s="274"/>
      <c r="P326" s="275" t="s">
        <v>183</v>
      </c>
      <c r="Q326" s="275" t="s">
        <v>184</v>
      </c>
      <c r="R326" s="324"/>
      <c r="S326" s="259" t="s">
        <v>183</v>
      </c>
      <c r="T326" s="259" t="s">
        <v>184</v>
      </c>
      <c r="U326" s="274"/>
      <c r="V326" s="275" t="s">
        <v>183</v>
      </c>
      <c r="W326" s="275" t="s">
        <v>184</v>
      </c>
      <c r="BH326" s="142"/>
      <c r="BI326" s="328"/>
      <c r="BJ326" s="329"/>
      <c r="BK326" s="329"/>
      <c r="BL326" s="329"/>
      <c r="BM326" s="329"/>
      <c r="BN326" s="329"/>
      <c r="BO326" s="329"/>
      <c r="BP326" s="329"/>
      <c r="BQ326" s="142"/>
    </row>
    <row r="327" spans="2:69" x14ac:dyDescent="0.25">
      <c r="B327" s="87"/>
      <c r="C327" s="87"/>
      <c r="D327" s="87"/>
      <c r="E327" s="87"/>
      <c r="F327" s="87"/>
      <c r="G327" s="87"/>
      <c r="H327" s="87"/>
      <c r="O327" s="280" t="s">
        <v>186</v>
      </c>
      <c r="P327" s="281">
        <v>15</v>
      </c>
      <c r="Q327" s="281">
        <v>24</v>
      </c>
      <c r="R327" s="324" t="s">
        <v>186</v>
      </c>
      <c r="S327" s="347">
        <v>11</v>
      </c>
      <c r="T327" s="347">
        <v>30</v>
      </c>
      <c r="U327" s="280" t="s">
        <v>186</v>
      </c>
      <c r="V327" s="281">
        <v>15</v>
      </c>
      <c r="W327" s="281">
        <v>24</v>
      </c>
      <c r="BH327" s="142"/>
      <c r="BI327" s="328"/>
      <c r="BJ327" s="329"/>
      <c r="BK327" s="329"/>
      <c r="BL327" s="329"/>
      <c r="BM327" s="329"/>
      <c r="BN327" s="329"/>
      <c r="BO327" s="329"/>
      <c r="BP327" s="329"/>
      <c r="BQ327" s="142"/>
    </row>
    <row r="328" spans="2:69" x14ac:dyDescent="0.25">
      <c r="B328" s="87"/>
      <c r="C328" s="87"/>
      <c r="D328" s="87"/>
      <c r="E328" s="87"/>
      <c r="F328" s="87"/>
      <c r="G328" s="87"/>
      <c r="H328" s="87"/>
      <c r="O328" s="280" t="s">
        <v>188</v>
      </c>
      <c r="P328" s="281">
        <v>-5</v>
      </c>
      <c r="Q328" s="281">
        <v>23</v>
      </c>
      <c r="R328" s="324"/>
      <c r="S328" s="347"/>
      <c r="T328" s="347"/>
      <c r="U328" s="280" t="s">
        <v>188</v>
      </c>
      <c r="V328" s="281">
        <v>16</v>
      </c>
      <c r="W328" s="281">
        <v>43</v>
      </c>
      <c r="BH328" s="142"/>
      <c r="BI328" s="328"/>
      <c r="BJ328" s="329"/>
      <c r="BK328" s="329"/>
      <c r="BL328" s="329"/>
      <c r="BM328" s="329"/>
      <c r="BN328" s="329"/>
      <c r="BO328" s="329"/>
      <c r="BP328" s="329"/>
      <c r="BQ328" s="142"/>
    </row>
    <row r="329" spans="2:69" x14ac:dyDescent="0.25">
      <c r="R329" s="142"/>
      <c r="S329" s="188"/>
      <c r="T329" s="348"/>
      <c r="BH329" s="142"/>
      <c r="BI329" s="328"/>
      <c r="BJ329" s="329"/>
      <c r="BK329" s="329"/>
      <c r="BL329" s="329"/>
      <c r="BM329" s="329"/>
      <c r="BN329" s="329"/>
      <c r="BO329" s="329"/>
      <c r="BP329" s="329"/>
      <c r="BQ329" s="142"/>
    </row>
    <row r="330" spans="2:69" x14ac:dyDescent="0.25">
      <c r="O330" s="164" t="s">
        <v>102</v>
      </c>
      <c r="P330" s="164"/>
      <c r="Q330" s="164"/>
      <c r="R330" s="164" t="s">
        <v>102</v>
      </c>
      <c r="S330" s="164"/>
      <c r="T330" s="164"/>
      <c r="U330" s="164" t="s">
        <v>102</v>
      </c>
      <c r="V330" s="164"/>
      <c r="W330" s="164"/>
      <c r="BH330" s="142"/>
      <c r="BI330" s="142"/>
      <c r="BJ330" s="142"/>
      <c r="BK330" s="142"/>
      <c r="BL330" s="142"/>
      <c r="BM330" s="142"/>
      <c r="BN330" s="142"/>
      <c r="BO330" s="142"/>
      <c r="BP330" s="142"/>
      <c r="BQ330" s="142"/>
    </row>
    <row r="331" spans="2:69" x14ac:dyDescent="0.25">
      <c r="O331" s="207" t="s">
        <v>229</v>
      </c>
      <c r="P331" s="169"/>
      <c r="Q331" s="170"/>
      <c r="R331" s="168" t="s">
        <v>230</v>
      </c>
      <c r="S331" s="205"/>
      <c r="T331" s="206"/>
      <c r="U331" s="207" t="s">
        <v>231</v>
      </c>
      <c r="V331" s="169"/>
      <c r="W331" s="170"/>
      <c r="BH331" s="142"/>
      <c r="BI331" s="188"/>
      <c r="BJ331" s="327"/>
      <c r="BK331" s="327"/>
      <c r="BL331" s="327"/>
      <c r="BM331" s="327"/>
      <c r="BN331" s="327"/>
      <c r="BO331" s="327"/>
      <c r="BP331" s="327"/>
      <c r="BQ331" s="142"/>
    </row>
    <row r="332" spans="2:69" ht="30" x14ac:dyDescent="0.25">
      <c r="O332" s="174" t="s">
        <v>225</v>
      </c>
      <c r="P332" s="351" t="s">
        <v>175</v>
      </c>
      <c r="Q332" s="174" t="s">
        <v>198</v>
      </c>
      <c r="R332" s="174" t="s">
        <v>197</v>
      </c>
      <c r="S332" s="302" t="s">
        <v>175</v>
      </c>
      <c r="T332" s="174"/>
      <c r="U332" s="174" t="s">
        <v>225</v>
      </c>
      <c r="V332" s="302" t="s">
        <v>175</v>
      </c>
      <c r="W332" s="174" t="s">
        <v>198</v>
      </c>
      <c r="BH332" s="142"/>
      <c r="BI332" s="352"/>
      <c r="BJ332" s="353"/>
      <c r="BK332" s="353"/>
      <c r="BL332" s="353"/>
      <c r="BM332" s="353"/>
      <c r="BN332" s="353"/>
      <c r="BO332" s="353"/>
      <c r="BP332" s="353"/>
      <c r="BQ332" s="142"/>
    </row>
    <row r="333" spans="2:69" x14ac:dyDescent="0.25">
      <c r="O333" s="354" t="s">
        <v>124</v>
      </c>
      <c r="P333" s="310">
        <v>1.0145995990000001</v>
      </c>
      <c r="Q333" s="311"/>
      <c r="R333" s="215" t="s">
        <v>124</v>
      </c>
      <c r="S333" s="322">
        <v>-7.6000882000000001</v>
      </c>
      <c r="T333" s="143"/>
      <c r="U333" s="309" t="s">
        <v>124</v>
      </c>
      <c r="V333" s="310">
        <v>1.1611348210000001</v>
      </c>
      <c r="W333" s="311"/>
      <c r="BH333" s="142"/>
      <c r="BI333" s="352"/>
      <c r="BJ333" s="353"/>
      <c r="BK333" s="353"/>
      <c r="BL333" s="353"/>
      <c r="BM333" s="353"/>
      <c r="BN333" s="353"/>
      <c r="BO333" s="353"/>
      <c r="BP333" s="353"/>
      <c r="BQ333" s="142"/>
    </row>
    <row r="334" spans="2:69" x14ac:dyDescent="0.25">
      <c r="O334" s="354" t="s">
        <v>125</v>
      </c>
      <c r="P334" s="310">
        <v>-2.5067029999999999E-3</v>
      </c>
      <c r="Q334" s="313"/>
      <c r="R334" s="215" t="s">
        <v>125</v>
      </c>
      <c r="S334" s="322">
        <v>3.0509001599999999</v>
      </c>
      <c r="T334" s="143"/>
      <c r="U334" s="309" t="s">
        <v>125</v>
      </c>
      <c r="V334" s="310">
        <v>2.7478868E-2</v>
      </c>
      <c r="W334" s="313"/>
      <c r="BH334" s="142"/>
      <c r="BI334" s="352"/>
      <c r="BJ334" s="353"/>
      <c r="BK334" s="353"/>
      <c r="BL334" s="353"/>
      <c r="BM334" s="353"/>
      <c r="BN334" s="353"/>
      <c r="BO334" s="353"/>
      <c r="BP334" s="353"/>
      <c r="BQ334" s="142"/>
    </row>
    <row r="335" spans="2:69" x14ac:dyDescent="0.25">
      <c r="O335" s="354" t="s">
        <v>126</v>
      </c>
      <c r="P335" s="315">
        <v>-1.4159900000000001E-4</v>
      </c>
      <c r="Q335" s="313"/>
      <c r="R335" s="215" t="s">
        <v>126</v>
      </c>
      <c r="S335" s="322">
        <v>-0.1162844</v>
      </c>
      <c r="T335" s="143"/>
      <c r="U335" s="309" t="s">
        <v>126</v>
      </c>
      <c r="V335" s="315">
        <v>-1.6879499999999999E-3</v>
      </c>
      <c r="W335" s="313"/>
      <c r="BH335" s="142"/>
      <c r="BI335" s="352"/>
      <c r="BJ335" s="353"/>
      <c r="BK335" s="353"/>
      <c r="BL335" s="353"/>
      <c r="BM335" s="353"/>
      <c r="BN335" s="353"/>
      <c r="BO335" s="353"/>
      <c r="BP335" s="353"/>
      <c r="BQ335" s="142"/>
    </row>
    <row r="336" spans="2:69" x14ac:dyDescent="0.25">
      <c r="O336" s="354" t="s">
        <v>127</v>
      </c>
      <c r="P336" s="310">
        <v>2.6931594999999999E-2</v>
      </c>
      <c r="Q336" s="313"/>
      <c r="R336" s="215"/>
      <c r="S336" s="322"/>
      <c r="T336" s="143"/>
      <c r="U336" s="309" t="s">
        <v>127</v>
      </c>
      <c r="V336" s="310">
        <v>1.783378E-3</v>
      </c>
      <c r="W336" s="313"/>
      <c r="BH336" s="142"/>
      <c r="BI336" s="352"/>
      <c r="BJ336" s="353"/>
      <c r="BK336" s="353"/>
      <c r="BL336" s="353"/>
      <c r="BM336" s="353"/>
      <c r="BN336" s="353"/>
      <c r="BO336" s="353"/>
      <c r="BP336" s="353"/>
      <c r="BQ336" s="142"/>
    </row>
    <row r="337" spans="15:69" x14ac:dyDescent="0.25">
      <c r="O337" s="354" t="s">
        <v>179</v>
      </c>
      <c r="P337" s="315">
        <v>1.8353799999999999E-6</v>
      </c>
      <c r="Q337" s="313"/>
      <c r="R337" s="215"/>
      <c r="S337" s="322"/>
      <c r="T337" s="143"/>
      <c r="U337" s="309" t="s">
        <v>179</v>
      </c>
      <c r="V337" s="315">
        <v>2.0320799999999999E-6</v>
      </c>
      <c r="W337" s="313"/>
      <c r="BH337" s="142"/>
      <c r="BI337" s="352"/>
      <c r="BJ337" s="353"/>
      <c r="BK337" s="353"/>
      <c r="BL337" s="353"/>
      <c r="BM337" s="353"/>
      <c r="BN337" s="353"/>
      <c r="BO337" s="353"/>
      <c r="BP337" s="353"/>
      <c r="BQ337" s="142"/>
    </row>
    <row r="338" spans="15:69" x14ac:dyDescent="0.25">
      <c r="O338" s="354" t="s">
        <v>180</v>
      </c>
      <c r="P338" s="315">
        <v>-3.5814700000000001E-4</v>
      </c>
      <c r="Q338" s="313"/>
      <c r="R338" s="215"/>
      <c r="S338" s="322"/>
      <c r="T338" s="143"/>
      <c r="U338" s="309" t="s">
        <v>180</v>
      </c>
      <c r="V338" s="315">
        <v>-6.8968999999999996E-5</v>
      </c>
      <c r="W338" s="313"/>
      <c r="BH338" s="142"/>
      <c r="BI338" s="352"/>
      <c r="BJ338" s="353"/>
      <c r="BK338" s="353"/>
      <c r="BL338" s="353"/>
      <c r="BM338" s="353"/>
      <c r="BN338" s="353"/>
      <c r="BO338" s="353"/>
      <c r="BP338" s="353"/>
      <c r="BQ338" s="142"/>
    </row>
    <row r="339" spans="15:69" x14ac:dyDescent="0.25">
      <c r="O339" s="274"/>
      <c r="P339" s="355" t="s">
        <v>183</v>
      </c>
      <c r="Q339" s="275" t="s">
        <v>184</v>
      </c>
      <c r="R339" s="324"/>
      <c r="S339" s="259" t="s">
        <v>183</v>
      </c>
      <c r="T339" s="259" t="s">
        <v>184</v>
      </c>
      <c r="U339" s="274"/>
      <c r="V339" s="275" t="s">
        <v>183</v>
      </c>
      <c r="W339" s="275" t="s">
        <v>184</v>
      </c>
      <c r="BH339" s="142"/>
      <c r="BI339" s="352"/>
      <c r="BJ339" s="353"/>
      <c r="BK339" s="353"/>
      <c r="BL339" s="353"/>
      <c r="BM339" s="353"/>
      <c r="BN339" s="353"/>
      <c r="BO339" s="353"/>
      <c r="BP339" s="353"/>
      <c r="BQ339" s="142"/>
    </row>
    <row r="340" spans="15:69" x14ac:dyDescent="0.25">
      <c r="O340" s="280" t="s">
        <v>186</v>
      </c>
      <c r="P340" s="356">
        <v>15</v>
      </c>
      <c r="Q340" s="281">
        <v>27</v>
      </c>
      <c r="R340" s="324" t="s">
        <v>186</v>
      </c>
      <c r="S340" s="347">
        <v>11</v>
      </c>
      <c r="T340" s="347">
        <v>30</v>
      </c>
      <c r="U340" s="280" t="s">
        <v>186</v>
      </c>
      <c r="V340" s="281">
        <v>15</v>
      </c>
      <c r="W340" s="281">
        <v>27</v>
      </c>
      <c r="BH340" s="142"/>
      <c r="BI340" s="352"/>
      <c r="BJ340" s="353"/>
      <c r="BK340" s="353"/>
      <c r="BL340" s="353"/>
      <c r="BM340" s="353"/>
      <c r="BN340" s="353"/>
      <c r="BO340" s="353"/>
      <c r="BP340" s="353"/>
      <c r="BQ340" s="142"/>
    </row>
    <row r="341" spans="15:69" x14ac:dyDescent="0.25">
      <c r="O341" s="280" t="s">
        <v>188</v>
      </c>
      <c r="P341" s="356">
        <v>-20</v>
      </c>
      <c r="Q341" s="281">
        <v>15</v>
      </c>
      <c r="R341" s="324"/>
      <c r="S341" s="347"/>
      <c r="T341" s="347"/>
      <c r="U341" s="280" t="s">
        <v>188</v>
      </c>
      <c r="V341" s="281">
        <v>-10</v>
      </c>
      <c r="W341" s="281">
        <v>15</v>
      </c>
      <c r="BH341" s="142"/>
      <c r="BI341" s="352"/>
      <c r="BJ341" s="353"/>
      <c r="BK341" s="353"/>
      <c r="BL341" s="353"/>
      <c r="BM341" s="353"/>
      <c r="BN341" s="353"/>
      <c r="BO341" s="353"/>
      <c r="BP341" s="353"/>
      <c r="BQ341" s="142"/>
    </row>
    <row r="342" spans="15:69" x14ac:dyDescent="0.25">
      <c r="O342" s="86"/>
      <c r="BH342" s="142"/>
      <c r="BI342" s="352"/>
      <c r="BJ342" s="353"/>
      <c r="BK342" s="353"/>
      <c r="BL342" s="353"/>
      <c r="BM342" s="353"/>
      <c r="BN342" s="353"/>
      <c r="BO342" s="353"/>
      <c r="BP342" s="353"/>
      <c r="BQ342" s="142"/>
    </row>
    <row r="343" spans="15:69" x14ac:dyDescent="0.25">
      <c r="O343" s="164" t="s">
        <v>102</v>
      </c>
      <c r="P343" s="164"/>
      <c r="Q343" s="164"/>
      <c r="R343" s="164" t="s">
        <v>102</v>
      </c>
      <c r="S343" s="164"/>
      <c r="T343" s="164"/>
      <c r="U343" s="164" t="s">
        <v>102</v>
      </c>
      <c r="V343" s="164"/>
      <c r="W343" s="164"/>
      <c r="BH343" s="142"/>
      <c r="BI343" s="142"/>
      <c r="BJ343" s="142"/>
      <c r="BK343" s="142"/>
      <c r="BL343" s="142"/>
      <c r="BM343" s="142"/>
      <c r="BN343" s="142"/>
      <c r="BO343" s="142"/>
      <c r="BP343" s="142"/>
      <c r="BQ343" s="142"/>
    </row>
    <row r="344" spans="15:69" x14ac:dyDescent="0.25">
      <c r="O344" s="207" t="s">
        <v>232</v>
      </c>
      <c r="P344" s="169"/>
      <c r="Q344" s="170"/>
      <c r="R344" s="168" t="s">
        <v>233</v>
      </c>
      <c r="S344" s="205"/>
      <c r="T344" s="206"/>
      <c r="U344" s="207" t="s">
        <v>234</v>
      </c>
      <c r="V344" s="169"/>
      <c r="W344" s="170"/>
      <c r="BH344" s="142"/>
      <c r="BI344" s="142"/>
      <c r="BJ344" s="142"/>
      <c r="BK344" s="142"/>
      <c r="BL344" s="142"/>
      <c r="BM344" s="142"/>
      <c r="BN344" s="142"/>
      <c r="BO344" s="142"/>
      <c r="BP344" s="142"/>
      <c r="BQ344" s="142"/>
    </row>
    <row r="345" spans="15:69" ht="30" x14ac:dyDescent="0.25">
      <c r="O345" s="174" t="s">
        <v>225</v>
      </c>
      <c r="P345" s="302" t="s">
        <v>175</v>
      </c>
      <c r="Q345" s="174" t="s">
        <v>199</v>
      </c>
      <c r="R345" s="174" t="s">
        <v>197</v>
      </c>
      <c r="S345" s="302" t="s">
        <v>175</v>
      </c>
      <c r="T345" s="174"/>
      <c r="U345" s="174" t="s">
        <v>225</v>
      </c>
      <c r="V345" s="302" t="s">
        <v>175</v>
      </c>
      <c r="W345" s="174" t="s">
        <v>199</v>
      </c>
      <c r="BH345" s="142"/>
      <c r="BI345" s="142"/>
      <c r="BJ345" s="142"/>
      <c r="BK345" s="142"/>
      <c r="BL345" s="142"/>
      <c r="BM345" s="142"/>
      <c r="BN345" s="142"/>
      <c r="BO345" s="142"/>
      <c r="BP345" s="142"/>
      <c r="BQ345" s="142"/>
    </row>
    <row r="346" spans="15:69" x14ac:dyDescent="0.25">
      <c r="O346" s="309" t="s">
        <v>124</v>
      </c>
      <c r="P346" s="310">
        <v>0.87465501000000001</v>
      </c>
      <c r="Q346" s="311"/>
      <c r="R346" s="215" t="s">
        <v>124</v>
      </c>
      <c r="S346" s="322">
        <v>-7.6000882000000001</v>
      </c>
      <c r="T346" s="143"/>
      <c r="U346" s="309" t="s">
        <v>124</v>
      </c>
      <c r="V346" s="310">
        <v>2.5040051459999999</v>
      </c>
      <c r="W346" s="311"/>
      <c r="BH346" s="142"/>
      <c r="BI346" s="357"/>
      <c r="BJ346" s="142"/>
      <c r="BK346" s="142"/>
      <c r="BL346" s="142"/>
      <c r="BM346" s="142"/>
      <c r="BN346" s="142"/>
      <c r="BO346" s="142"/>
      <c r="BP346" s="142"/>
      <c r="BQ346" s="142"/>
    </row>
    <row r="347" spans="15:69" x14ac:dyDescent="0.25">
      <c r="O347" s="309" t="s">
        <v>125</v>
      </c>
      <c r="P347" s="310">
        <v>-1.3197540000000001E-2</v>
      </c>
      <c r="Q347" s="313"/>
      <c r="R347" s="215" t="s">
        <v>125</v>
      </c>
      <c r="S347" s="322">
        <v>3.0509001599999999</v>
      </c>
      <c r="T347" s="143"/>
      <c r="U347" s="309" t="s">
        <v>125</v>
      </c>
      <c r="V347" s="310">
        <v>-5.7367670000000003E-2</v>
      </c>
      <c r="W347" s="313"/>
      <c r="BH347" s="142"/>
      <c r="BI347" s="142"/>
      <c r="BJ347" s="142"/>
      <c r="BK347" s="142"/>
      <c r="BL347" s="142"/>
      <c r="BM347" s="142"/>
      <c r="BN347" s="142"/>
      <c r="BO347" s="142"/>
      <c r="BP347" s="142"/>
      <c r="BQ347" s="142"/>
    </row>
    <row r="348" spans="15:69" x14ac:dyDescent="0.25">
      <c r="O348" s="309" t="s">
        <v>126</v>
      </c>
      <c r="P348" s="315">
        <v>1.10307E-3</v>
      </c>
      <c r="Q348" s="313"/>
      <c r="R348" s="215" t="s">
        <v>126</v>
      </c>
      <c r="S348" s="322">
        <v>-0.1162844</v>
      </c>
      <c r="T348" s="143"/>
      <c r="U348" s="309" t="s">
        <v>126</v>
      </c>
      <c r="V348" s="315">
        <v>4.0733599999999999E-5</v>
      </c>
      <c r="W348" s="313"/>
      <c r="BH348" s="142"/>
      <c r="BI348" s="142"/>
      <c r="BJ348" s="142"/>
      <c r="BK348" s="142"/>
      <c r="BL348" s="142"/>
      <c r="BM348" s="142"/>
      <c r="BN348" s="142"/>
      <c r="BO348" s="142"/>
      <c r="BP348" s="142"/>
      <c r="BQ348" s="142"/>
    </row>
    <row r="349" spans="15:69" x14ac:dyDescent="0.25">
      <c r="O349" s="309" t="s">
        <v>127</v>
      </c>
      <c r="P349" s="310">
        <v>-1.33118E-2</v>
      </c>
      <c r="Q349" s="313"/>
      <c r="R349" s="215"/>
      <c r="S349" s="322"/>
      <c r="T349" s="143"/>
      <c r="U349" s="309" t="s">
        <v>127</v>
      </c>
      <c r="V349" s="310">
        <v>-0.12959668999999999</v>
      </c>
      <c r="W349" s="313"/>
    </row>
    <row r="350" spans="15:69" x14ac:dyDescent="0.25">
      <c r="O350" s="309" t="s">
        <v>179</v>
      </c>
      <c r="P350" s="315">
        <v>8.9017000000000002E-4</v>
      </c>
      <c r="Q350" s="313"/>
      <c r="R350" s="215"/>
      <c r="S350" s="322"/>
      <c r="T350" s="143"/>
      <c r="U350" s="309" t="s">
        <v>179</v>
      </c>
      <c r="V350" s="315">
        <v>1.3583899999999999E-3</v>
      </c>
      <c r="W350" s="313"/>
    </row>
    <row r="351" spans="15:69" x14ac:dyDescent="0.25">
      <c r="O351" s="309" t="s">
        <v>180</v>
      </c>
      <c r="P351" s="315">
        <v>-1.2766000000000001E-4</v>
      </c>
      <c r="Q351" s="313"/>
      <c r="R351" s="215"/>
      <c r="S351" s="322"/>
      <c r="T351" s="143"/>
      <c r="U351" s="309" t="s">
        <v>180</v>
      </c>
      <c r="V351" s="315">
        <v>3.1704699999999999E-3</v>
      </c>
      <c r="W351" s="313"/>
    </row>
    <row r="352" spans="15:69" x14ac:dyDescent="0.25">
      <c r="O352" s="274"/>
      <c r="P352" s="275" t="s">
        <v>183</v>
      </c>
      <c r="Q352" s="275" t="s">
        <v>184</v>
      </c>
      <c r="R352" s="324"/>
      <c r="S352" s="259" t="s">
        <v>183</v>
      </c>
      <c r="T352" s="259" t="s">
        <v>184</v>
      </c>
      <c r="U352" s="274"/>
      <c r="V352" s="275" t="s">
        <v>183</v>
      </c>
      <c r="W352" s="275" t="s">
        <v>184</v>
      </c>
    </row>
    <row r="353" spans="1:70" x14ac:dyDescent="0.25">
      <c r="O353" s="280" t="s">
        <v>186</v>
      </c>
      <c r="P353" s="281">
        <v>15</v>
      </c>
      <c r="Q353" s="281">
        <v>27</v>
      </c>
      <c r="R353" s="324" t="s">
        <v>186</v>
      </c>
      <c r="S353" s="347">
        <v>11</v>
      </c>
      <c r="T353" s="347">
        <v>30</v>
      </c>
      <c r="U353" s="280" t="s">
        <v>186</v>
      </c>
      <c r="V353" s="281">
        <v>15</v>
      </c>
      <c r="W353" s="281">
        <v>27</v>
      </c>
    </row>
    <row r="354" spans="1:70" x14ac:dyDescent="0.25">
      <c r="O354" s="280" t="s">
        <v>188</v>
      </c>
      <c r="P354" s="281">
        <v>-20</v>
      </c>
      <c r="Q354" s="281">
        <v>15</v>
      </c>
      <c r="R354" s="324"/>
      <c r="S354" s="347"/>
      <c r="T354" s="347"/>
      <c r="U354" s="280" t="s">
        <v>188</v>
      </c>
      <c r="V354" s="281">
        <v>-20</v>
      </c>
      <c r="W354" s="281">
        <v>12</v>
      </c>
    </row>
    <row r="355" spans="1:70" x14ac:dyDescent="0.25">
      <c r="O355" s="86"/>
      <c r="U355" s="87"/>
    </row>
    <row r="362" spans="1:70" x14ac:dyDescent="0.25">
      <c r="BH362" s="226"/>
      <c r="BI362" s="226"/>
      <c r="BJ362" s="226"/>
      <c r="BK362" s="226"/>
      <c r="BL362" s="226"/>
      <c r="BM362" s="226"/>
      <c r="BN362" s="226"/>
      <c r="BO362" s="226"/>
      <c r="BP362" s="226"/>
      <c r="BQ362" s="226"/>
      <c r="BR362" s="226"/>
    </row>
    <row r="363" spans="1:70" x14ac:dyDescent="0.25">
      <c r="BH363" s="226"/>
      <c r="BI363" s="226"/>
      <c r="BJ363" s="226"/>
      <c r="BK363" s="226"/>
      <c r="BL363" s="226"/>
      <c r="BM363" s="226"/>
      <c r="BN363" s="226"/>
      <c r="BO363" s="226"/>
      <c r="BP363" s="226"/>
      <c r="BQ363" s="226"/>
      <c r="BR363" s="226"/>
    </row>
    <row r="364" spans="1:70" x14ac:dyDescent="0.25">
      <c r="BH364" s="226"/>
      <c r="BI364" s="226"/>
      <c r="BJ364" s="226"/>
      <c r="BK364" s="226"/>
      <c r="BL364" s="226"/>
      <c r="BM364" s="226"/>
      <c r="BN364" s="226"/>
      <c r="BO364" s="226"/>
      <c r="BP364" s="226"/>
      <c r="BQ364" s="226"/>
      <c r="BR364" s="226"/>
    </row>
    <row r="365" spans="1:70" x14ac:dyDescent="0.25">
      <c r="BH365" s="226"/>
      <c r="BI365" s="226"/>
      <c r="BJ365" s="226"/>
      <c r="BK365" s="226"/>
      <c r="BL365" s="226"/>
      <c r="BM365" s="226"/>
      <c r="BN365" s="226"/>
      <c r="BO365" s="226"/>
      <c r="BP365" s="226"/>
      <c r="BQ365" s="226"/>
      <c r="BR365" s="226"/>
    </row>
    <row r="366" spans="1:70" x14ac:dyDescent="0.25">
      <c r="BH366" s="226"/>
      <c r="BI366" s="358"/>
      <c r="BJ366" s="359"/>
      <c r="BK366" s="359"/>
      <c r="BL366" s="359"/>
      <c r="BM366" s="359"/>
      <c r="BN366" s="359"/>
      <c r="BO366" s="359"/>
      <c r="BP366" s="359"/>
      <c r="BQ366" s="226"/>
      <c r="BR366" s="226"/>
    </row>
    <row r="367" spans="1:70" ht="26.25" x14ac:dyDescent="0.25">
      <c r="A367" s="360" t="s">
        <v>235</v>
      </c>
      <c r="B367" s="361"/>
      <c r="C367" s="361"/>
      <c r="D367" s="361"/>
      <c r="E367" s="360"/>
      <c r="F367" s="361"/>
      <c r="G367" s="361"/>
      <c r="I367" s="362" t="s">
        <v>236</v>
      </c>
      <c r="J367" s="362" t="s">
        <v>237</v>
      </c>
      <c r="K367" s="362" t="s">
        <v>238</v>
      </c>
      <c r="L367" s="362" t="s">
        <v>239</v>
      </c>
      <c r="M367" s="362" t="s">
        <v>240</v>
      </c>
      <c r="N367" s="272" t="s">
        <v>241</v>
      </c>
      <c r="P367" s="362" t="s">
        <v>236</v>
      </c>
      <c r="Q367" s="362" t="s">
        <v>237</v>
      </c>
      <c r="R367" s="362" t="s">
        <v>238</v>
      </c>
      <c r="S367" s="362" t="s">
        <v>239</v>
      </c>
      <c r="T367" s="362" t="s">
        <v>240</v>
      </c>
      <c r="U367" s="362" t="s">
        <v>241</v>
      </c>
      <c r="W367" s="361" t="s">
        <v>242</v>
      </c>
      <c r="X367" s="362" t="s">
        <v>243</v>
      </c>
      <c r="Y367" s="362" t="s">
        <v>244</v>
      </c>
      <c r="Z367" s="272" t="s">
        <v>245</v>
      </c>
      <c r="AA367" s="360" t="s">
        <v>246</v>
      </c>
      <c r="AB367" s="361"/>
      <c r="AC367" s="361"/>
      <c r="AE367" s="363"/>
      <c r="AU367" s="360" t="s">
        <v>247</v>
      </c>
      <c r="AV367" s="361"/>
      <c r="AW367" s="361"/>
      <c r="AX367" s="361"/>
      <c r="AY367" s="360"/>
      <c r="AZ367" s="361"/>
      <c r="BA367" s="361"/>
      <c r="BH367" s="226"/>
      <c r="BI367" s="358"/>
      <c r="BJ367" s="359"/>
      <c r="BK367" s="359"/>
      <c r="BL367" s="359"/>
      <c r="BM367" s="359"/>
      <c r="BN367" s="359"/>
      <c r="BO367" s="359"/>
      <c r="BP367" s="359"/>
      <c r="BQ367" s="226"/>
      <c r="BR367" s="226"/>
    </row>
    <row r="368" spans="1:70" x14ac:dyDescent="0.25">
      <c r="A368" s="160" t="s">
        <v>248</v>
      </c>
      <c r="B368" s="160" t="s">
        <v>249</v>
      </c>
      <c r="C368" s="272" t="s">
        <v>250</v>
      </c>
      <c r="D368" s="272" t="s">
        <v>251</v>
      </c>
      <c r="E368" s="364" t="s">
        <v>96</v>
      </c>
      <c r="F368" s="364" t="s">
        <v>94</v>
      </c>
      <c r="G368" s="364" t="s">
        <v>95</v>
      </c>
      <c r="I368" s="365" t="s">
        <v>250</v>
      </c>
      <c r="J368" s="361"/>
      <c r="K368" s="361"/>
      <c r="L368" s="361"/>
      <c r="M368" s="361"/>
      <c r="N368" s="272"/>
      <c r="O368" s="366"/>
      <c r="P368" s="365" t="s">
        <v>252</v>
      </c>
      <c r="Q368" s="361"/>
      <c r="R368" s="361"/>
      <c r="S368" s="361"/>
      <c r="T368" s="361"/>
      <c r="U368" s="361"/>
      <c r="W368" s="367" t="s">
        <v>248</v>
      </c>
      <c r="X368" s="361" t="s">
        <v>250</v>
      </c>
      <c r="Y368" s="368"/>
      <c r="Z368" s="272" t="s">
        <v>253</v>
      </c>
      <c r="AA368" s="364" t="s">
        <v>254</v>
      </c>
      <c r="AB368" s="364" t="s">
        <v>255</v>
      </c>
      <c r="AC368" s="364" t="s">
        <v>256</v>
      </c>
      <c r="AU368" s="160" t="s">
        <v>248</v>
      </c>
      <c r="AV368" s="160" t="s">
        <v>249</v>
      </c>
      <c r="AW368" s="272" t="s">
        <v>250</v>
      </c>
      <c r="AX368" s="272" t="s">
        <v>251</v>
      </c>
      <c r="AY368" s="364" t="s">
        <v>96</v>
      </c>
      <c r="AZ368" s="364" t="s">
        <v>94</v>
      </c>
      <c r="BA368" s="364" t="s">
        <v>95</v>
      </c>
      <c r="BH368" s="226"/>
      <c r="BI368" s="226"/>
      <c r="BJ368" s="226"/>
      <c r="BK368" s="226"/>
      <c r="BL368" s="226"/>
      <c r="BM368" s="226"/>
      <c r="BN368" s="226"/>
      <c r="BO368" s="226"/>
      <c r="BP368" s="226"/>
      <c r="BQ368" s="226"/>
      <c r="BR368" s="226"/>
    </row>
    <row r="369" spans="1:70" x14ac:dyDescent="0.25">
      <c r="A369" s="369">
        <v>0.2</v>
      </c>
      <c r="B369" s="272">
        <f t="shared" ref="B369:B377" si="35">A369^2</f>
        <v>4.0000000000000008E-2</v>
      </c>
      <c r="C369" s="370">
        <v>1.0090395480225989</v>
      </c>
      <c r="D369" s="339">
        <f t="shared" ref="D369:D377" si="36">$G$369+$F$369*A369+B369*$E$369</f>
        <v>1.0090395480225991</v>
      </c>
      <c r="E369" s="371">
        <f t="array" ref="E369:G373">LINEST(C369:C377,A369:B377,TRUE,TRUE)</f>
        <v>-1.9438964801390899E-16</v>
      </c>
      <c r="F369" s="371">
        <v>-1.1299435028248331E-2</v>
      </c>
      <c r="G369" s="371">
        <v>1.0112994350282487</v>
      </c>
      <c r="I369" s="344">
        <f t="shared" ref="I369:N377" si="37">P369/P$377</f>
        <v>1.0090395480225989</v>
      </c>
      <c r="J369" s="344">
        <f t="shared" si="37"/>
        <v>1.0406320541760723</v>
      </c>
      <c r="K369" s="344">
        <f t="shared" si="37"/>
        <v>1.0424374319912948</v>
      </c>
      <c r="L369" s="344">
        <f t="shared" si="37"/>
        <v>1.0410094637223974</v>
      </c>
      <c r="M369" s="344">
        <f t="shared" si="37"/>
        <v>1.0588235294117647</v>
      </c>
      <c r="N369" s="370">
        <f t="shared" si="37"/>
        <v>1.0235294117647058</v>
      </c>
      <c r="O369" s="142"/>
      <c r="P369" s="372">
        <v>0.89300000000000002</v>
      </c>
      <c r="Q369" s="372">
        <v>0.92200000000000004</v>
      </c>
      <c r="R369" s="372">
        <v>0.95799999999999996</v>
      </c>
      <c r="S369" s="372">
        <v>0.99</v>
      </c>
      <c r="T369" s="372">
        <v>0.9</v>
      </c>
      <c r="U369" s="372">
        <v>0.87</v>
      </c>
      <c r="W369" s="261">
        <v>0.2</v>
      </c>
      <c r="X369" s="373">
        <f t="shared" ref="X369:X377" si="38">W369/($AA$369+$AB$369*W369+$AC$369*W369^2)</f>
        <v>0.85863442780601718</v>
      </c>
      <c r="Y369" s="373">
        <f t="shared" ref="Y369:Y377" si="39">W369/($AA$370+$AB$370*W369+$AC$370*W369^2)</f>
        <v>0.71925473701169806</v>
      </c>
      <c r="Z369" s="370">
        <v>0.71925473701169806</v>
      </c>
      <c r="AA369" s="374">
        <v>1.8599999999999998E-2</v>
      </c>
      <c r="AB369" s="374">
        <v>1.0942000000000001</v>
      </c>
      <c r="AC369" s="374">
        <v>-0.1128</v>
      </c>
      <c r="AD369" s="86" t="s">
        <v>257</v>
      </c>
      <c r="AU369" s="325">
        <v>0.2</v>
      </c>
      <c r="AV369" s="272">
        <f t="shared" ref="AV369:AV377" si="40">AU369^2</f>
        <v>4.0000000000000008E-2</v>
      </c>
      <c r="AW369" s="370">
        <v>0.71925473701169806</v>
      </c>
      <c r="AX369" s="339">
        <f t="shared" ref="AX369:AX377" si="41">$BA$369+$AZ$369*AU369+AV369*$AY$369</f>
        <v>0.7323473232011648</v>
      </c>
      <c r="AY369" s="371">
        <f t="array" ref="AY369:BA373">LINEST(AW369:AW377,AU369:AV377,TRUE,TRUE)</f>
        <v>-0.41133642825018057</v>
      </c>
      <c r="AZ369" s="371">
        <v>0.82785144250717002</v>
      </c>
      <c r="BA369" s="371">
        <v>0.58323049182973807</v>
      </c>
      <c r="BH369" s="226"/>
      <c r="BI369" s="283"/>
      <c r="BJ369" s="375"/>
      <c r="BK369" s="375"/>
      <c r="BL369" s="375"/>
      <c r="BM369" s="375"/>
      <c r="BN369" s="375"/>
      <c r="BO369" s="375"/>
      <c r="BP369" s="375"/>
      <c r="BQ369" s="226"/>
      <c r="BR369" s="226"/>
    </row>
    <row r="370" spans="1:70" x14ac:dyDescent="0.25">
      <c r="A370" s="325">
        <f t="shared" ref="A370:A377" si="42">A369+0.1</f>
        <v>0.30000000000000004</v>
      </c>
      <c r="B370" s="272">
        <f t="shared" si="35"/>
        <v>9.0000000000000024E-2</v>
      </c>
      <c r="C370" s="370">
        <v>1.007909604519774</v>
      </c>
      <c r="D370" s="339">
        <f t="shared" si="36"/>
        <v>1.0079096045197742</v>
      </c>
      <c r="E370" s="254">
        <v>3.9832948327629016E-16</v>
      </c>
      <c r="F370" s="254">
        <v>4.8644059993788121E-16</v>
      </c>
      <c r="G370" s="254">
        <v>1.3087209991402425E-16</v>
      </c>
      <c r="I370" s="344">
        <f t="shared" si="37"/>
        <v>1.007909604519774</v>
      </c>
      <c r="J370" s="344">
        <f t="shared" si="37"/>
        <v>1.0321670428893905</v>
      </c>
      <c r="K370" s="344">
        <f t="shared" si="37"/>
        <v>1.0364526659412403</v>
      </c>
      <c r="L370" s="344">
        <f t="shared" si="37"/>
        <v>1.035751840168244</v>
      </c>
      <c r="M370" s="344">
        <f t="shared" si="37"/>
        <v>1.0478676470588235</v>
      </c>
      <c r="N370" s="370">
        <f t="shared" si="37"/>
        <v>1.0161764705882352</v>
      </c>
      <c r="O370" s="142"/>
      <c r="P370" s="376">
        <f>P369+($W370-$W369)/($W371-$W369)*(P371-P369)</f>
        <v>0.89200000000000002</v>
      </c>
      <c r="Q370" s="376">
        <f>Q369+($W370-$W369)/($W371-$W369)*(Q371-Q369)</f>
        <v>0.91449999999999998</v>
      </c>
      <c r="R370" s="376">
        <f>R369+($W370-$W369)/($W371-$W369)*(R371-R369)</f>
        <v>0.9524999999999999</v>
      </c>
      <c r="S370" s="376">
        <f>S369+($W370-$W369)/($W371-$W369)*(S371-S369)</f>
        <v>0.98499999999999999</v>
      </c>
      <c r="T370" s="376">
        <f t="shared" ref="T370:U376" si="43">T$379*$W370+T$380</f>
        <v>0.89068749999999997</v>
      </c>
      <c r="U370" s="376">
        <f t="shared" si="43"/>
        <v>0.86374999999999991</v>
      </c>
      <c r="W370" s="261">
        <f t="shared" ref="W370:W377" si="44">W369+0.1</f>
        <v>0.30000000000000004</v>
      </c>
      <c r="X370" s="373">
        <f t="shared" si="38"/>
        <v>0.89097972130154313</v>
      </c>
      <c r="Y370" s="373">
        <f t="shared" si="39"/>
        <v>0.80455355859402666</v>
      </c>
      <c r="Z370" s="370">
        <v>0.80455355859402666</v>
      </c>
      <c r="AA370" s="374">
        <v>8.2600000000000007E-2</v>
      </c>
      <c r="AB370" s="374">
        <v>0.99680000000000002</v>
      </c>
      <c r="AC370" s="374">
        <v>-9.7360000000000002E-2</v>
      </c>
      <c r="AD370" s="86" t="s">
        <v>258</v>
      </c>
      <c r="AU370" s="325">
        <f t="shared" ref="AU370:AU377" si="45">AU369+0.1</f>
        <v>0.30000000000000004</v>
      </c>
      <c r="AV370" s="272">
        <f t="shared" si="40"/>
        <v>9.0000000000000024E-2</v>
      </c>
      <c r="AW370" s="370">
        <v>0.80455355859402666</v>
      </c>
      <c r="AX370" s="339">
        <f t="shared" si="41"/>
        <v>0.79456564603937285</v>
      </c>
      <c r="AY370" s="254">
        <v>6.245042728466476E-2</v>
      </c>
      <c r="AZ370" s="254">
        <v>7.6264561349726159E-2</v>
      </c>
      <c r="BA370" s="254">
        <v>2.051823654138896E-2</v>
      </c>
      <c r="BH370" s="226"/>
      <c r="BI370" s="377"/>
      <c r="BJ370" s="378"/>
      <c r="BK370" s="378"/>
      <c r="BL370" s="378"/>
      <c r="BM370" s="378"/>
      <c r="BN370" s="378"/>
      <c r="BO370" s="378"/>
      <c r="BP370" s="378"/>
      <c r="BQ370" s="226"/>
      <c r="BR370" s="226"/>
    </row>
    <row r="371" spans="1:70" x14ac:dyDescent="0.25">
      <c r="A371" s="325">
        <f t="shared" si="42"/>
        <v>0.4</v>
      </c>
      <c r="B371" s="272">
        <f t="shared" si="35"/>
        <v>0.16000000000000003</v>
      </c>
      <c r="C371" s="370">
        <v>1.0067796610169493</v>
      </c>
      <c r="D371" s="339">
        <f t="shared" si="36"/>
        <v>1.0067796610169493</v>
      </c>
      <c r="E371" s="253">
        <v>1</v>
      </c>
      <c r="F371" s="254">
        <v>6.9906540603955045E-17</v>
      </c>
      <c r="G371" s="254" t="e">
        <v>#N/A</v>
      </c>
      <c r="I371" s="344">
        <f t="shared" si="37"/>
        <v>1.0067796610169493</v>
      </c>
      <c r="J371" s="344">
        <f t="shared" si="37"/>
        <v>1.0237020316027088</v>
      </c>
      <c r="K371" s="344">
        <f t="shared" si="37"/>
        <v>1.030467899891186</v>
      </c>
      <c r="L371" s="344">
        <f t="shared" si="37"/>
        <v>1.0304942166140905</v>
      </c>
      <c r="M371" s="344">
        <f t="shared" si="37"/>
        <v>1.040514705882353</v>
      </c>
      <c r="N371" s="370">
        <f t="shared" si="37"/>
        <v>1.013235294117647</v>
      </c>
      <c r="O371" s="379"/>
      <c r="P371" s="372">
        <v>0.89100000000000001</v>
      </c>
      <c r="Q371" s="372">
        <v>0.90700000000000003</v>
      </c>
      <c r="R371" s="372">
        <v>0.94699999999999995</v>
      </c>
      <c r="S371" s="372">
        <v>0.98</v>
      </c>
      <c r="T371" s="376">
        <f t="shared" si="43"/>
        <v>0.88443749999999999</v>
      </c>
      <c r="U371" s="376">
        <f t="shared" si="43"/>
        <v>0.86124999999999996</v>
      </c>
      <c r="W371" s="261">
        <f t="shared" si="44"/>
        <v>0.4</v>
      </c>
      <c r="X371" s="373">
        <f t="shared" si="38"/>
        <v>0.9127585388561309</v>
      </c>
      <c r="Y371" s="373">
        <f t="shared" si="39"/>
        <v>0.85884385875110369</v>
      </c>
      <c r="Z371" s="370">
        <v>0.85884385875110369</v>
      </c>
      <c r="AA371" s="226"/>
      <c r="AB371" s="226"/>
      <c r="AC371" s="226"/>
      <c r="AD371" s="226"/>
      <c r="AU371" s="325">
        <f t="shared" si="45"/>
        <v>0.4</v>
      </c>
      <c r="AV371" s="272">
        <f t="shared" si="40"/>
        <v>0.16000000000000003</v>
      </c>
      <c r="AW371" s="370">
        <v>0.85884385875110369</v>
      </c>
      <c r="AX371" s="339">
        <f t="shared" si="41"/>
        <v>0.84855724031257718</v>
      </c>
      <c r="AY371" s="253">
        <v>0.99012223844985903</v>
      </c>
      <c r="AZ371" s="254">
        <v>1.0960005508007093E-2</v>
      </c>
      <c r="BA371" s="254" t="e">
        <v>#N/A</v>
      </c>
      <c r="BH371" s="226"/>
      <c r="BI371" s="377"/>
      <c r="BJ371" s="378"/>
      <c r="BK371" s="378"/>
      <c r="BL371" s="378"/>
      <c r="BM371" s="378"/>
      <c r="BN371" s="378"/>
      <c r="BO371" s="378"/>
      <c r="BP371" s="378"/>
      <c r="BQ371" s="226"/>
      <c r="BR371" s="226"/>
    </row>
    <row r="372" spans="1:70" x14ac:dyDescent="0.25">
      <c r="A372" s="325">
        <f t="shared" si="42"/>
        <v>0.5</v>
      </c>
      <c r="B372" s="272">
        <f t="shared" si="35"/>
        <v>0.25</v>
      </c>
      <c r="C372" s="370">
        <v>1.0056497175141244</v>
      </c>
      <c r="D372" s="339">
        <f t="shared" si="36"/>
        <v>1.0056497175141246</v>
      </c>
      <c r="E372" s="252">
        <v>7.8378886803934128E+27</v>
      </c>
      <c r="F372" s="254">
        <v>6</v>
      </c>
      <c r="G372" s="254" t="e">
        <v>#N/A</v>
      </c>
      <c r="I372" s="344">
        <f t="shared" si="37"/>
        <v>1.0056497175141244</v>
      </c>
      <c r="J372" s="344">
        <f t="shared" si="37"/>
        <v>1.0186230248306998</v>
      </c>
      <c r="K372" s="344">
        <f t="shared" si="37"/>
        <v>1.0244831338411315</v>
      </c>
      <c r="L372" s="344">
        <f t="shared" si="37"/>
        <v>1.0257623554153523</v>
      </c>
      <c r="M372" s="344">
        <f t="shared" si="37"/>
        <v>1.0331617647058824</v>
      </c>
      <c r="N372" s="370">
        <f t="shared" si="37"/>
        <v>1.0102941176470588</v>
      </c>
      <c r="O372" s="379"/>
      <c r="P372" s="376">
        <f>P371+($W372-$W371)/($W373-$W371)*(P373-P371)</f>
        <v>0.89</v>
      </c>
      <c r="Q372" s="376">
        <f>Q371+($W372-$W371)/($W373-$W371)*(Q373-Q371)</f>
        <v>0.90250000000000008</v>
      </c>
      <c r="R372" s="376">
        <f>R371+($W372-$W371)/($W373-$W371)*(R373-R371)</f>
        <v>0.9415</v>
      </c>
      <c r="S372" s="376">
        <f>S371+($W372-$W371)/($W373-$W371)*(S373-S371)</f>
        <v>0.97550000000000003</v>
      </c>
      <c r="T372" s="376">
        <f t="shared" si="43"/>
        <v>0.87818750000000001</v>
      </c>
      <c r="U372" s="376">
        <f t="shared" si="43"/>
        <v>0.8587499999999999</v>
      </c>
      <c r="W372" s="261">
        <f t="shared" si="44"/>
        <v>0.5</v>
      </c>
      <c r="X372" s="373">
        <f t="shared" si="38"/>
        <v>0.93023255813953487</v>
      </c>
      <c r="Y372" s="373">
        <f t="shared" si="39"/>
        <v>0.89821434987245363</v>
      </c>
      <c r="Z372" s="370">
        <v>0.89821434987245363</v>
      </c>
      <c r="AA372" s="160" t="s">
        <v>259</v>
      </c>
      <c r="AB372" s="380" t="s">
        <v>260</v>
      </c>
      <c r="AC372" s="381" t="s">
        <v>261</v>
      </c>
      <c r="AD372" s="380" t="s">
        <v>260</v>
      </c>
      <c r="AU372" s="325">
        <f t="shared" si="45"/>
        <v>0.5</v>
      </c>
      <c r="AV372" s="272">
        <f t="shared" si="40"/>
        <v>0.25</v>
      </c>
      <c r="AW372" s="370">
        <v>0.89821434987245363</v>
      </c>
      <c r="AX372" s="339">
        <f t="shared" si="41"/>
        <v>0.894322106020778</v>
      </c>
      <c r="AY372" s="252">
        <v>300.71253494747589</v>
      </c>
      <c r="AZ372" s="254">
        <v>6</v>
      </c>
      <c r="BA372" s="254" t="e">
        <v>#N/A</v>
      </c>
      <c r="BH372" s="226"/>
      <c r="BI372" s="377"/>
      <c r="BJ372" s="378"/>
      <c r="BK372" s="378"/>
      <c r="BL372" s="378"/>
      <c r="BM372" s="378"/>
      <c r="BN372" s="378"/>
      <c r="BO372" s="378"/>
      <c r="BP372" s="378"/>
      <c r="BQ372" s="226"/>
      <c r="BR372" s="226"/>
    </row>
    <row r="373" spans="1:70" x14ac:dyDescent="0.25">
      <c r="A373" s="325">
        <f t="shared" si="42"/>
        <v>0.6</v>
      </c>
      <c r="B373" s="272">
        <f t="shared" si="35"/>
        <v>0.36</v>
      </c>
      <c r="C373" s="370">
        <v>1.0045197740112994</v>
      </c>
      <c r="D373" s="339">
        <f t="shared" si="36"/>
        <v>1.0045197740112997</v>
      </c>
      <c r="E373" s="254">
        <v>7.6606339174566286E-5</v>
      </c>
      <c r="F373" s="254">
        <v>2.9321546515274494E-32</v>
      </c>
      <c r="G373" s="254" t="e">
        <v>#N/A</v>
      </c>
      <c r="I373" s="344">
        <f t="shared" si="37"/>
        <v>1.0045197740112994</v>
      </c>
      <c r="J373" s="344">
        <f t="shared" si="37"/>
        <v>1.0135440180586908</v>
      </c>
      <c r="K373" s="344">
        <f t="shared" si="37"/>
        <v>1.0184983677910773</v>
      </c>
      <c r="L373" s="344">
        <f t="shared" si="37"/>
        <v>1.0210304942166142</v>
      </c>
      <c r="M373" s="344">
        <f t="shared" si="37"/>
        <v>1.0258088235294116</v>
      </c>
      <c r="N373" s="370">
        <f t="shared" si="37"/>
        <v>1.0073529411764706</v>
      </c>
      <c r="O373" s="142"/>
      <c r="P373" s="372">
        <v>0.88900000000000001</v>
      </c>
      <c r="Q373" s="372">
        <v>0.89800000000000002</v>
      </c>
      <c r="R373" s="372">
        <v>0.93600000000000005</v>
      </c>
      <c r="S373" s="372">
        <v>0.97099999999999997</v>
      </c>
      <c r="T373" s="376">
        <f t="shared" si="43"/>
        <v>0.87193749999999992</v>
      </c>
      <c r="U373" s="376">
        <f t="shared" si="43"/>
        <v>0.85624999999999996</v>
      </c>
      <c r="W373" s="261">
        <f t="shared" si="44"/>
        <v>0.6</v>
      </c>
      <c r="X373" s="373">
        <f t="shared" si="38"/>
        <v>0.94560859369089945</v>
      </c>
      <c r="Y373" s="373">
        <f t="shared" si="39"/>
        <v>0.92932426973698889</v>
      </c>
      <c r="Z373" s="370">
        <v>0.92932426973698889</v>
      </c>
      <c r="AB373" s="272" t="s">
        <v>262</v>
      </c>
      <c r="AC373" s="272"/>
      <c r="AD373" s="272" t="s">
        <v>263</v>
      </c>
      <c r="AU373" s="325">
        <f t="shared" si="45"/>
        <v>0.6</v>
      </c>
      <c r="AV373" s="272">
        <f t="shared" si="40"/>
        <v>0.36</v>
      </c>
      <c r="AW373" s="370">
        <v>0.92932426973698889</v>
      </c>
      <c r="AX373" s="339">
        <f t="shared" si="41"/>
        <v>0.93186024316397498</v>
      </c>
      <c r="AY373" s="254">
        <v>7.2244214289277506E-2</v>
      </c>
      <c r="AZ373" s="254">
        <v>7.2073032441327483E-4</v>
      </c>
      <c r="BA373" s="254" t="e">
        <v>#N/A</v>
      </c>
      <c r="BH373" s="226"/>
      <c r="BI373" s="377"/>
      <c r="BJ373" s="378"/>
      <c r="BK373" s="378"/>
      <c r="BL373" s="378"/>
      <c r="BM373" s="378"/>
      <c r="BN373" s="378"/>
      <c r="BO373" s="378"/>
      <c r="BP373" s="378"/>
      <c r="BQ373" s="226"/>
      <c r="BR373" s="226"/>
    </row>
    <row r="374" spans="1:70" x14ac:dyDescent="0.25">
      <c r="A374" s="325">
        <f t="shared" si="42"/>
        <v>0.7</v>
      </c>
      <c r="B374" s="272">
        <f t="shared" si="35"/>
        <v>0.48999999999999994</v>
      </c>
      <c r="C374" s="370">
        <v>1.0033898305084745</v>
      </c>
      <c r="D374" s="339">
        <f t="shared" si="36"/>
        <v>1.003389830508475</v>
      </c>
      <c r="I374" s="344">
        <f t="shared" si="37"/>
        <v>1.0033898305084745</v>
      </c>
      <c r="J374" s="344">
        <f t="shared" si="37"/>
        <v>1.0090293453724606</v>
      </c>
      <c r="K374" s="344">
        <f t="shared" si="37"/>
        <v>1.0141458106637651</v>
      </c>
      <c r="L374" s="344">
        <f t="shared" si="37"/>
        <v>1.0157728706624607</v>
      </c>
      <c r="M374" s="344">
        <f t="shared" si="37"/>
        <v>1.018455882352941</v>
      </c>
      <c r="N374" s="370">
        <f t="shared" si="37"/>
        <v>1.0044117647058823</v>
      </c>
      <c r="O374" s="306"/>
      <c r="P374" s="376">
        <f>P373+($W374-$W373)/($W375-$W373)*(P375-P373)</f>
        <v>0.88800000000000001</v>
      </c>
      <c r="Q374" s="376">
        <f>Q373+($W374-$W373)/($W375-$W373)*(Q375-Q373)</f>
        <v>0.89400000000000002</v>
      </c>
      <c r="R374" s="376">
        <f>R373+($W374-$W373)/($W375-$W373)*(R375-R373)</f>
        <v>0.93200000000000005</v>
      </c>
      <c r="S374" s="376">
        <f>S373+($W374-$W373)/($W375-$W373)*(S375-S373)</f>
        <v>0.96599999999999997</v>
      </c>
      <c r="T374" s="376">
        <f t="shared" si="43"/>
        <v>0.86568749999999994</v>
      </c>
      <c r="U374" s="376">
        <f t="shared" si="43"/>
        <v>0.8537499999999999</v>
      </c>
      <c r="W374" s="261">
        <f t="shared" si="44"/>
        <v>0.7</v>
      </c>
      <c r="X374" s="373">
        <f t="shared" si="38"/>
        <v>0.95986660596653084</v>
      </c>
      <c r="Y374" s="373">
        <f t="shared" si="39"/>
        <v>0.95543105227354375</v>
      </c>
      <c r="Z374" s="370">
        <v>0.95543105227354375</v>
      </c>
      <c r="AU374" s="325">
        <f t="shared" si="45"/>
        <v>0.7</v>
      </c>
      <c r="AV374" s="272">
        <f t="shared" si="40"/>
        <v>0.48999999999999994</v>
      </c>
      <c r="AW374" s="370">
        <v>0.95543105227354375</v>
      </c>
      <c r="AX374" s="339">
        <f t="shared" si="41"/>
        <v>0.96117165174216856</v>
      </c>
      <c r="BH374" s="226"/>
      <c r="BI374" s="377"/>
      <c r="BJ374" s="378"/>
      <c r="BK374" s="378"/>
      <c r="BL374" s="378"/>
      <c r="BM374" s="378"/>
      <c r="BN374" s="378"/>
      <c r="BO374" s="378"/>
      <c r="BP374" s="378"/>
      <c r="BQ374" s="226"/>
      <c r="BR374" s="226"/>
    </row>
    <row r="375" spans="1:70" x14ac:dyDescent="0.25">
      <c r="A375" s="325">
        <f t="shared" si="42"/>
        <v>0.79999999999999993</v>
      </c>
      <c r="B375" s="272">
        <f t="shared" si="35"/>
        <v>0.6399999999999999</v>
      </c>
      <c r="C375" s="370">
        <v>1.0022598870056498</v>
      </c>
      <c r="D375" s="339">
        <f t="shared" si="36"/>
        <v>1.0022598870056498</v>
      </c>
      <c r="E375" s="360" t="s">
        <v>264</v>
      </c>
      <c r="F375" s="360"/>
      <c r="G375" s="360"/>
      <c r="I375" s="344">
        <f t="shared" si="37"/>
        <v>1.0022598870056498</v>
      </c>
      <c r="J375" s="344">
        <f t="shared" si="37"/>
        <v>1.0045146726862302</v>
      </c>
      <c r="K375" s="344">
        <f t="shared" si="37"/>
        <v>1.0097932535364527</v>
      </c>
      <c r="L375" s="344">
        <f t="shared" si="37"/>
        <v>1.010515247108307</v>
      </c>
      <c r="M375" s="344">
        <f t="shared" si="37"/>
        <v>1.0111029411764705</v>
      </c>
      <c r="N375" s="370">
        <f t="shared" si="37"/>
        <v>1.0014705882352941</v>
      </c>
      <c r="O375" s="140"/>
      <c r="P375" s="372">
        <v>0.88700000000000001</v>
      </c>
      <c r="Q375" s="372">
        <v>0.89</v>
      </c>
      <c r="R375" s="372">
        <v>0.92800000000000005</v>
      </c>
      <c r="S375" s="372">
        <v>0.96099999999999997</v>
      </c>
      <c r="T375" s="376">
        <f t="shared" si="43"/>
        <v>0.85943749999999997</v>
      </c>
      <c r="U375" s="376">
        <f t="shared" si="43"/>
        <v>0.85124999999999995</v>
      </c>
      <c r="W375" s="261">
        <f t="shared" si="44"/>
        <v>0.79999999999999993</v>
      </c>
      <c r="X375" s="373">
        <f t="shared" si="38"/>
        <v>0.973510771896691</v>
      </c>
      <c r="Y375" s="373">
        <f t="shared" si="39"/>
        <v>0.97831850528585484</v>
      </c>
      <c r="Z375" s="370">
        <v>0.97831850528585484</v>
      </c>
      <c r="AA375" s="382" t="s">
        <v>265</v>
      </c>
      <c r="AB375" s="383" t="s">
        <v>266</v>
      </c>
      <c r="AU375" s="325">
        <f t="shared" si="45"/>
        <v>0.79999999999999993</v>
      </c>
      <c r="AV375" s="272">
        <f t="shared" si="40"/>
        <v>0.6399999999999999</v>
      </c>
      <c r="AW375" s="370">
        <v>0.97831850528585484</v>
      </c>
      <c r="AX375" s="339">
        <f t="shared" si="41"/>
        <v>0.98225633175535854</v>
      </c>
      <c r="AY375" s="360" t="s">
        <v>264</v>
      </c>
      <c r="AZ375" s="360"/>
      <c r="BA375" s="360"/>
      <c r="BH375" s="226"/>
      <c r="BI375" s="377"/>
      <c r="BJ375" s="378"/>
      <c r="BK375" s="378"/>
      <c r="BL375" s="378"/>
      <c r="BM375" s="378"/>
      <c r="BN375" s="378"/>
      <c r="BO375" s="378"/>
      <c r="BP375" s="378"/>
      <c r="BQ375" s="226"/>
      <c r="BR375" s="226"/>
    </row>
    <row r="376" spans="1:70" x14ac:dyDescent="0.25">
      <c r="A376" s="325">
        <f t="shared" si="42"/>
        <v>0.89999999999999991</v>
      </c>
      <c r="B376" s="272">
        <f t="shared" si="35"/>
        <v>0.80999999999999983</v>
      </c>
      <c r="C376" s="370">
        <v>1.0011299435028249</v>
      </c>
      <c r="D376" s="339">
        <f t="shared" si="36"/>
        <v>1.0011299435028249</v>
      </c>
      <c r="E376" s="364" t="s">
        <v>124</v>
      </c>
      <c r="F376" s="384">
        <f>ROUND(G369,6)</f>
        <v>1.0112989999999999</v>
      </c>
      <c r="I376" s="344">
        <f t="shared" si="37"/>
        <v>1.0011299435028249</v>
      </c>
      <c r="J376" s="344">
        <f t="shared" si="37"/>
        <v>1.0022573363431151</v>
      </c>
      <c r="K376" s="344">
        <f t="shared" si="37"/>
        <v>1.0048966267682262</v>
      </c>
      <c r="L376" s="344">
        <f t="shared" si="37"/>
        <v>1.0052576235541535</v>
      </c>
      <c r="M376" s="344">
        <f t="shared" si="37"/>
        <v>1.0037499999999999</v>
      </c>
      <c r="N376" s="370">
        <f t="shared" si="37"/>
        <v>0.99852941176470578</v>
      </c>
      <c r="O376" s="142"/>
      <c r="P376" s="376">
        <f>P375+($W376-$W375)/($W377-$W375)*(P377-P375)</f>
        <v>0.88600000000000001</v>
      </c>
      <c r="Q376" s="376">
        <f>Q375+($W376-$W375)/($W377-$W375)*(Q377-Q375)</f>
        <v>0.88800000000000001</v>
      </c>
      <c r="R376" s="376">
        <f>R375+($W376-$W375)/($W377-$W375)*(R377-R375)</f>
        <v>0.92349999999999999</v>
      </c>
      <c r="S376" s="376">
        <f>S375+($W376-$W375)/($W377-$W375)*(S377-S375)</f>
        <v>0.95599999999999996</v>
      </c>
      <c r="T376" s="376">
        <f t="shared" si="43"/>
        <v>0.85318749999999999</v>
      </c>
      <c r="U376" s="376">
        <f t="shared" si="43"/>
        <v>0.84874999999999989</v>
      </c>
      <c r="W376" s="261">
        <f t="shared" si="44"/>
        <v>0.89999999999999991</v>
      </c>
      <c r="X376" s="373">
        <f t="shared" si="38"/>
        <v>0.98682912066946482</v>
      </c>
      <c r="Y376" s="373">
        <f t="shared" si="39"/>
        <v>0.99904713104745424</v>
      </c>
      <c r="Z376" s="370">
        <v>0.98399999999999999</v>
      </c>
      <c r="AA376" s="226"/>
      <c r="AB376" s="385" t="s">
        <v>263</v>
      </c>
      <c r="AU376" s="325">
        <f t="shared" si="45"/>
        <v>0.89999999999999991</v>
      </c>
      <c r="AV376" s="272">
        <f t="shared" si="40"/>
        <v>0.80999999999999983</v>
      </c>
      <c r="AW376" s="370">
        <v>0.98399999999999999</v>
      </c>
      <c r="AX376" s="339">
        <f t="shared" si="41"/>
        <v>0.99511428320354489</v>
      </c>
      <c r="AY376" s="364" t="s">
        <v>124</v>
      </c>
      <c r="AZ376" s="386">
        <f>ROUND(BA369,6)</f>
        <v>0.58323000000000003</v>
      </c>
      <c r="BH376" s="226"/>
      <c r="BI376" s="377"/>
      <c r="BJ376" s="378"/>
      <c r="BK376" s="378"/>
      <c r="BL376" s="378"/>
      <c r="BM376" s="378"/>
      <c r="BN376" s="378"/>
      <c r="BO376" s="378"/>
      <c r="BP376" s="378"/>
      <c r="BQ376" s="226"/>
      <c r="BR376" s="226"/>
    </row>
    <row r="377" spans="1:70" x14ac:dyDescent="0.25">
      <c r="A377" s="325">
        <f t="shared" si="42"/>
        <v>0.99999999999999989</v>
      </c>
      <c r="B377" s="196">
        <f t="shared" si="35"/>
        <v>0.99999999999999978</v>
      </c>
      <c r="C377" s="370">
        <v>1</v>
      </c>
      <c r="D377" s="339">
        <f t="shared" si="36"/>
        <v>1.0000000000000002</v>
      </c>
      <c r="E377" s="364" t="s">
        <v>125</v>
      </c>
      <c r="F377" s="384">
        <f>ROUND(F369,6)</f>
        <v>-1.1299E-2</v>
      </c>
      <c r="I377" s="344">
        <f t="shared" si="37"/>
        <v>1</v>
      </c>
      <c r="J377" s="344">
        <f t="shared" si="37"/>
        <v>1</v>
      </c>
      <c r="K377" s="344">
        <f t="shared" si="37"/>
        <v>1</v>
      </c>
      <c r="L377" s="344">
        <f t="shared" si="37"/>
        <v>1</v>
      </c>
      <c r="M377" s="344">
        <f t="shared" si="37"/>
        <v>1</v>
      </c>
      <c r="N377" s="370">
        <f t="shared" si="37"/>
        <v>1</v>
      </c>
      <c r="O377" s="226"/>
      <c r="P377" s="372">
        <v>0.88500000000000001</v>
      </c>
      <c r="Q377" s="372">
        <v>0.88600000000000001</v>
      </c>
      <c r="R377" s="372">
        <v>0.91900000000000004</v>
      </c>
      <c r="S377" s="372">
        <v>0.95099999999999996</v>
      </c>
      <c r="T377" s="372">
        <v>0.85</v>
      </c>
      <c r="U377" s="372">
        <v>0.85</v>
      </c>
      <c r="W377" s="261">
        <f t="shared" si="44"/>
        <v>0.99999999999999989</v>
      </c>
      <c r="X377" s="373">
        <f t="shared" si="38"/>
        <v>1</v>
      </c>
      <c r="Y377" s="373">
        <f t="shared" si="39"/>
        <v>1.0182884607551628</v>
      </c>
      <c r="Z377" s="370">
        <v>1.012</v>
      </c>
      <c r="AU377" s="325">
        <f t="shared" si="45"/>
        <v>0.99999999999999989</v>
      </c>
      <c r="AV377" s="196">
        <f t="shared" si="40"/>
        <v>0.99999999999999978</v>
      </c>
      <c r="AW377" s="370">
        <v>1.012</v>
      </c>
      <c r="AX377" s="339">
        <f t="shared" si="41"/>
        <v>0.99974550608672763</v>
      </c>
      <c r="AY377" s="364" t="s">
        <v>125</v>
      </c>
      <c r="AZ377" s="386">
        <f>ROUND(AZ369,6)</f>
        <v>0.827851</v>
      </c>
      <c r="BH377" s="226"/>
      <c r="BI377" s="377"/>
      <c r="BJ377" s="378"/>
      <c r="BK377" s="378"/>
      <c r="BL377" s="378"/>
      <c r="BM377" s="378"/>
      <c r="BN377" s="378"/>
      <c r="BO377" s="378"/>
      <c r="BP377" s="378"/>
      <c r="BQ377" s="226"/>
      <c r="BR377" s="226"/>
    </row>
    <row r="378" spans="1:70" x14ac:dyDescent="0.25">
      <c r="E378" s="364" t="s">
        <v>126</v>
      </c>
      <c r="F378" s="384">
        <f>ROUND(E369,6)</f>
        <v>0</v>
      </c>
      <c r="I378" s="370"/>
      <c r="J378" s="370"/>
      <c r="K378" s="370"/>
      <c r="L378" s="370"/>
      <c r="O378" s="387"/>
      <c r="AW378" s="388"/>
      <c r="AY378" s="364" t="s">
        <v>126</v>
      </c>
      <c r="AZ378" s="386">
        <f>ROUND(AY369,6)</f>
        <v>-0.41133599999999998</v>
      </c>
      <c r="BH378" s="226"/>
      <c r="BI378" s="377"/>
      <c r="BJ378" s="378"/>
      <c r="BK378" s="378"/>
      <c r="BL378" s="378"/>
      <c r="BM378" s="378"/>
      <c r="BN378" s="378"/>
      <c r="BO378" s="378"/>
      <c r="BP378" s="378"/>
      <c r="BQ378" s="226"/>
      <c r="BR378" s="226"/>
    </row>
    <row r="379" spans="1:70" x14ac:dyDescent="0.25">
      <c r="A379" s="160" t="s">
        <v>267</v>
      </c>
      <c r="B379" s="158" t="s">
        <v>268</v>
      </c>
      <c r="F379" s="272"/>
      <c r="I379" s="382" t="s">
        <v>269</v>
      </c>
      <c r="J379" s="86" t="s">
        <v>270</v>
      </c>
      <c r="K379" s="339"/>
      <c r="O379" s="387"/>
      <c r="S379" s="160" t="s">
        <v>271</v>
      </c>
      <c r="T379" s="339">
        <f>(T377-T369)/($W377-$W369)</f>
        <v>-6.2500000000000069E-2</v>
      </c>
      <c r="U379" s="339">
        <f>(U377-U369)/($W377-$W369)</f>
        <v>-2.5000000000000029E-2</v>
      </c>
      <c r="AU379" s="160" t="s">
        <v>267</v>
      </c>
      <c r="AV379" s="158" t="s">
        <v>268</v>
      </c>
      <c r="AW379" s="388"/>
      <c r="BH379" s="226"/>
      <c r="BI379" s="377"/>
      <c r="BJ379" s="378"/>
      <c r="BK379" s="378"/>
      <c r="BL379" s="378"/>
      <c r="BM379" s="378"/>
      <c r="BN379" s="378"/>
      <c r="BO379" s="378"/>
      <c r="BP379" s="378"/>
      <c r="BQ379" s="226"/>
      <c r="BR379" s="226"/>
    </row>
    <row r="380" spans="1:70" x14ac:dyDescent="0.25">
      <c r="A380" s="160" t="s">
        <v>272</v>
      </c>
      <c r="B380" s="158" t="s">
        <v>273</v>
      </c>
      <c r="E380" s="374"/>
      <c r="F380" s="374"/>
      <c r="G380" s="374"/>
      <c r="I380" s="389"/>
      <c r="J380" s="86" t="s">
        <v>274</v>
      </c>
      <c r="K380" s="339"/>
      <c r="O380" s="387"/>
      <c r="S380" s="160" t="s">
        <v>275</v>
      </c>
      <c r="T380" s="339">
        <f>T377-T379*S377</f>
        <v>0.90943750000000001</v>
      </c>
      <c r="U380" s="339">
        <f>U377-U379*T377</f>
        <v>0.87124999999999997</v>
      </c>
      <c r="AU380" s="160" t="s">
        <v>272</v>
      </c>
      <c r="AV380" s="158" t="s">
        <v>273</v>
      </c>
      <c r="AY380" s="374"/>
      <c r="AZ380" s="374"/>
      <c r="BA380" s="374"/>
      <c r="BH380" s="226"/>
      <c r="BI380" s="377"/>
      <c r="BJ380" s="378"/>
      <c r="BK380" s="378"/>
      <c r="BL380" s="378"/>
      <c r="BM380" s="378"/>
      <c r="BN380" s="378"/>
      <c r="BO380" s="378"/>
      <c r="BP380" s="378"/>
      <c r="BQ380" s="226"/>
      <c r="BR380" s="226"/>
    </row>
    <row r="381" spans="1:70" ht="18.75" x14ac:dyDescent="0.3">
      <c r="A381" s="160" t="s">
        <v>276</v>
      </c>
      <c r="B381" s="161" t="s">
        <v>277</v>
      </c>
      <c r="J381" s="86" t="s">
        <v>278</v>
      </c>
      <c r="O381" s="387"/>
      <c r="AU381" s="160" t="s">
        <v>276</v>
      </c>
      <c r="AV381" s="161" t="s">
        <v>277</v>
      </c>
      <c r="BH381" s="226"/>
      <c r="BI381" s="226"/>
      <c r="BJ381" s="226"/>
      <c r="BK381" s="226"/>
      <c r="BL381" s="226"/>
      <c r="BM381" s="226"/>
      <c r="BN381" s="226"/>
      <c r="BO381" s="226"/>
      <c r="BP381" s="226"/>
      <c r="BQ381" s="226"/>
      <c r="BR381" s="226"/>
    </row>
    <row r="382" spans="1:70" x14ac:dyDescent="0.25">
      <c r="O382" s="226"/>
      <c r="BH382" s="226"/>
      <c r="BI382" s="226"/>
      <c r="BJ382" s="226"/>
      <c r="BK382" s="226"/>
      <c r="BL382" s="226"/>
      <c r="BM382" s="226"/>
      <c r="BN382" s="226"/>
      <c r="BO382" s="226"/>
      <c r="BP382" s="226"/>
      <c r="BQ382" s="226"/>
      <c r="BR382" s="226"/>
    </row>
    <row r="383" spans="1:70" x14ac:dyDescent="0.25">
      <c r="O383" s="226"/>
      <c r="BH383" s="226"/>
      <c r="BI383" s="226"/>
      <c r="BJ383" s="226"/>
      <c r="BK383" s="226"/>
      <c r="BL383" s="226"/>
      <c r="BM383" s="226"/>
      <c r="BN383" s="226"/>
      <c r="BO383" s="226"/>
      <c r="BP383" s="226"/>
      <c r="BQ383" s="226"/>
      <c r="BR383" s="226"/>
    </row>
    <row r="384" spans="1:70" x14ac:dyDescent="0.25">
      <c r="A384" s="360" t="s">
        <v>279</v>
      </c>
      <c r="B384" s="361"/>
      <c r="C384" s="361"/>
      <c r="D384" s="361"/>
      <c r="E384" s="361"/>
      <c r="F384" s="361"/>
      <c r="G384" s="361"/>
      <c r="H384" s="361"/>
      <c r="I384" s="361"/>
      <c r="J384" s="361" t="s">
        <v>97</v>
      </c>
      <c r="K384" s="364" t="s">
        <v>96</v>
      </c>
      <c r="L384" s="364" t="s">
        <v>94</v>
      </c>
      <c r="M384" s="364" t="s">
        <v>95</v>
      </c>
      <c r="O384" s="226"/>
      <c r="P384" s="226"/>
    </row>
    <row r="385" spans="1:16" x14ac:dyDescent="0.25">
      <c r="A385" s="160" t="s">
        <v>280</v>
      </c>
      <c r="B385" s="160" t="s">
        <v>281</v>
      </c>
      <c r="C385" s="160" t="s">
        <v>282</v>
      </c>
      <c r="D385" s="272" t="s">
        <v>283</v>
      </c>
      <c r="E385" s="272" t="s">
        <v>284</v>
      </c>
      <c r="F385" s="272" t="s">
        <v>285</v>
      </c>
      <c r="G385" s="272" t="s">
        <v>286</v>
      </c>
      <c r="H385" s="390"/>
      <c r="I385" s="390"/>
      <c r="J385" s="391">
        <f t="array" ref="J385:M389">LINEST(F386:F396,A386:C396,FALSE,TRUE)</f>
        <v>0.74604320812272318</v>
      </c>
      <c r="K385" s="391">
        <v>0.21791348796900389</v>
      </c>
      <c r="L385" s="391">
        <v>3.3143778627892556E-2</v>
      </c>
      <c r="M385" s="392">
        <v>0</v>
      </c>
      <c r="O385" s="226"/>
      <c r="P385" s="226"/>
    </row>
    <row r="386" spans="1:16" x14ac:dyDescent="0.25">
      <c r="A386" s="397">
        <v>0.3</v>
      </c>
      <c r="B386" s="196">
        <f t="shared" ref="B386:B396" si="46">A386^2</f>
        <v>0.09</v>
      </c>
      <c r="C386" s="344">
        <f t="shared" ref="C386:C396" si="47">A386^3</f>
        <v>2.7E-2</v>
      </c>
      <c r="D386" s="156">
        <f>L399*144/62.4</f>
        <v>11.538461538461538</v>
      </c>
      <c r="E386" s="112">
        <f t="shared" ref="E386:E396" si="48">A386*100*D386/3962/0.78*746</f>
        <v>83.560093073547819</v>
      </c>
      <c r="F386" s="261">
        <f t="shared" ref="F386:F396" si="49">E386/$E$396</f>
        <v>3.461538461538461E-2</v>
      </c>
      <c r="G386" s="376">
        <f t="shared" ref="G386:G396" si="50">MAX($M$385+$L$385*A386+$K$385*B386+$J$385*C386,0)</f>
        <v>4.9698514124891638E-2</v>
      </c>
      <c r="H386" s="390"/>
      <c r="I386" s="390"/>
      <c r="J386" s="393">
        <v>8.0564213188033224E-2</v>
      </c>
      <c r="K386" s="393">
        <v>0.11654770887610022</v>
      </c>
      <c r="L386" s="393">
        <v>4.0274758193430849E-2</v>
      </c>
      <c r="M386" s="394" t="e">
        <v>#N/A</v>
      </c>
      <c r="O386" s="86"/>
    </row>
    <row r="387" spans="1:16" x14ac:dyDescent="0.25">
      <c r="A387" s="325">
        <f t="shared" ref="A387:A395" si="51">A386+0.1*($A$396-$A$386)</f>
        <v>0.37</v>
      </c>
      <c r="B387" s="196">
        <f t="shared" si="46"/>
        <v>0.13689999999999999</v>
      </c>
      <c r="C387" s="344">
        <f t="shared" si="47"/>
        <v>5.0652999999999997E-2</v>
      </c>
      <c r="D387" s="156">
        <f t="shared" ref="D387:D395" si="52">$D$386+(A387)^2*($D$396-$D$386)</f>
        <v>23.648846153846154</v>
      </c>
      <c r="E387" s="112">
        <f t="shared" si="48"/>
        <v>211.22311042676628</v>
      </c>
      <c r="F387" s="261">
        <f t="shared" si="49"/>
        <v>8.7500730769230747E-2</v>
      </c>
      <c r="G387" s="376">
        <f t="shared" si="50"/>
        <v>7.9884881216317177E-2</v>
      </c>
      <c r="H387" s="390"/>
      <c r="I387" s="390"/>
      <c r="J387" s="253">
        <v>0.99987002483730469</v>
      </c>
      <c r="K387" s="393">
        <v>6.7105769790208767E-3</v>
      </c>
      <c r="L387" s="393" t="e">
        <v>#N/A</v>
      </c>
      <c r="M387" s="394" t="e">
        <v>#N/A</v>
      </c>
      <c r="O387" s="86"/>
    </row>
    <row r="388" spans="1:16" x14ac:dyDescent="0.25">
      <c r="A388" s="325">
        <f t="shared" si="51"/>
        <v>0.44</v>
      </c>
      <c r="B388" s="196">
        <f t="shared" si="46"/>
        <v>0.19359999999999999</v>
      </c>
      <c r="C388" s="344">
        <f t="shared" si="47"/>
        <v>8.5183999999999996E-2</v>
      </c>
      <c r="D388" s="156">
        <f t="shared" si="52"/>
        <v>28.664615384615388</v>
      </c>
      <c r="E388" s="112">
        <f t="shared" si="48"/>
        <v>304.45881236639593</v>
      </c>
      <c r="F388" s="261">
        <f t="shared" si="49"/>
        <v>0.12612430769230767</v>
      </c>
      <c r="G388" s="376">
        <f t="shared" si="50"/>
        <v>0.12032225850779793</v>
      </c>
      <c r="H388" s="390"/>
      <c r="I388" s="390"/>
      <c r="J388" s="395">
        <v>20514.073696412139</v>
      </c>
      <c r="K388" s="393">
        <v>8</v>
      </c>
      <c r="L388" s="393" t="e">
        <v>#N/A</v>
      </c>
      <c r="M388" s="394" t="e">
        <v>#N/A</v>
      </c>
      <c r="O388" s="86"/>
    </row>
    <row r="389" spans="1:16" x14ac:dyDescent="0.25">
      <c r="A389" s="325">
        <f t="shared" si="51"/>
        <v>0.51</v>
      </c>
      <c r="B389" s="196">
        <f t="shared" si="46"/>
        <v>0.2601</v>
      </c>
      <c r="C389" s="344">
        <f t="shared" si="47"/>
        <v>0.13265099999999999</v>
      </c>
      <c r="D389" s="156">
        <f t="shared" si="52"/>
        <v>34.54730769230769</v>
      </c>
      <c r="E389" s="112">
        <f t="shared" si="48"/>
        <v>425.31836694156613</v>
      </c>
      <c r="F389" s="261">
        <f t="shared" si="49"/>
        <v>0.17619126923076919</v>
      </c>
      <c r="G389" s="376">
        <f t="shared" si="50"/>
        <v>0.17254600292165045</v>
      </c>
      <c r="H389" s="390"/>
      <c r="I389" s="390"/>
      <c r="J389" s="396">
        <v>2.771359662047252</v>
      </c>
      <c r="K389" s="393">
        <v>3.602547471309197E-4</v>
      </c>
      <c r="L389" s="393" t="e">
        <v>#N/A</v>
      </c>
      <c r="M389" s="394" t="e">
        <v>#N/A</v>
      </c>
      <c r="O389" s="86"/>
    </row>
    <row r="390" spans="1:16" x14ac:dyDescent="0.25">
      <c r="A390" s="325">
        <f t="shared" si="51"/>
        <v>0.57999999999999996</v>
      </c>
      <c r="B390" s="196">
        <f t="shared" si="46"/>
        <v>0.33639999999999998</v>
      </c>
      <c r="C390" s="344">
        <f t="shared" si="47"/>
        <v>0.19511199999999998</v>
      </c>
      <c r="D390" s="156">
        <f t="shared" si="52"/>
        <v>41.296923076923079</v>
      </c>
      <c r="E390" s="112">
        <f t="shared" si="48"/>
        <v>578.19647798065841</v>
      </c>
      <c r="F390" s="261">
        <f t="shared" si="49"/>
        <v>0.2395221538461538</v>
      </c>
      <c r="G390" s="376">
        <f t="shared" si="50"/>
        <v>0.23809147138019135</v>
      </c>
      <c r="H390" s="390"/>
      <c r="I390" s="390"/>
      <c r="J390" s="390"/>
      <c r="O390" s="86"/>
    </row>
    <row r="391" spans="1:16" x14ac:dyDescent="0.25">
      <c r="A391" s="325">
        <f t="shared" si="51"/>
        <v>0.64999999999999991</v>
      </c>
      <c r="B391" s="196">
        <f t="shared" si="46"/>
        <v>0.42249999999999988</v>
      </c>
      <c r="C391" s="344">
        <f t="shared" si="47"/>
        <v>0.2746249999999999</v>
      </c>
      <c r="D391" s="156">
        <f t="shared" si="52"/>
        <v>48.913461538461533</v>
      </c>
      <c r="E391" s="112">
        <f t="shared" si="48"/>
        <v>767.48784931205398</v>
      </c>
      <c r="F391" s="261">
        <f t="shared" si="49"/>
        <v>0.31793749999999987</v>
      </c>
      <c r="G391" s="376">
        <f t="shared" si="50"/>
        <v>0.31849402080573708</v>
      </c>
      <c r="H391" s="390"/>
      <c r="I391" s="390"/>
      <c r="J391" s="390"/>
      <c r="K391" s="360" t="s">
        <v>264</v>
      </c>
      <c r="L391" s="361"/>
      <c r="M391" s="361"/>
      <c r="O391" s="86"/>
    </row>
    <row r="392" spans="1:16" x14ac:dyDescent="0.25">
      <c r="A392" s="325">
        <f t="shared" si="51"/>
        <v>0.71999999999999986</v>
      </c>
      <c r="B392" s="196">
        <f t="shared" si="46"/>
        <v>0.51839999999999975</v>
      </c>
      <c r="C392" s="344">
        <f t="shared" si="47"/>
        <v>0.37324799999999975</v>
      </c>
      <c r="D392" s="156">
        <f t="shared" si="52"/>
        <v>57.396923076923059</v>
      </c>
      <c r="E392" s="112">
        <f t="shared" si="48"/>
        <v>997.58718476413458</v>
      </c>
      <c r="F392" s="261">
        <f t="shared" si="49"/>
        <v>0.41325784615384592</v>
      </c>
      <c r="G392" s="376">
        <f t="shared" si="50"/>
        <v>0.41528900812060421</v>
      </c>
      <c r="H392" s="390"/>
      <c r="I392" s="390"/>
      <c r="J392" s="390"/>
      <c r="L392" s="361" t="s">
        <v>287</v>
      </c>
      <c r="M392" s="361" t="s">
        <v>288</v>
      </c>
      <c r="O392" s="86"/>
    </row>
    <row r="393" spans="1:16" x14ac:dyDescent="0.25">
      <c r="A393" s="325">
        <f t="shared" si="51"/>
        <v>0.78999999999999981</v>
      </c>
      <c r="B393" s="196">
        <f t="shared" si="46"/>
        <v>0.62409999999999966</v>
      </c>
      <c r="C393" s="344">
        <f t="shared" si="47"/>
        <v>0.49303899999999962</v>
      </c>
      <c r="D393" s="156">
        <f t="shared" si="52"/>
        <v>66.747307692307658</v>
      </c>
      <c r="E393" s="112">
        <f t="shared" si="48"/>
        <v>1272.8891881652814</v>
      </c>
      <c r="F393" s="261">
        <f t="shared" si="49"/>
        <v>0.52730373076923043</v>
      </c>
      <c r="G393" s="376">
        <f t="shared" si="50"/>
        <v>0.53001179024710943</v>
      </c>
      <c r="H393" s="390"/>
      <c r="I393" s="390"/>
      <c r="J393" s="390"/>
      <c r="K393" s="364" t="s">
        <v>124</v>
      </c>
      <c r="L393" s="384">
        <f>ROUND(M385,6)</f>
        <v>0</v>
      </c>
      <c r="M393" s="398">
        <v>0.20367099999999999</v>
      </c>
      <c r="O393" s="86"/>
    </row>
    <row r="394" spans="1:16" x14ac:dyDescent="0.25">
      <c r="A394" s="325">
        <f t="shared" si="51"/>
        <v>0.85999999999999976</v>
      </c>
      <c r="B394" s="196">
        <f t="shared" si="46"/>
        <v>0.73959999999999959</v>
      </c>
      <c r="C394" s="344">
        <f t="shared" si="47"/>
        <v>0.63605599999999951</v>
      </c>
      <c r="D394" s="156">
        <f t="shared" si="52"/>
        <v>76.964615384615342</v>
      </c>
      <c r="E394" s="112">
        <f t="shared" si="48"/>
        <v>1597.7885633438757</v>
      </c>
      <c r="F394" s="261">
        <f t="shared" si="49"/>
        <v>0.66189569230769163</v>
      </c>
      <c r="G394" s="376">
        <f t="shared" si="50"/>
        <v>0.66419772410756917</v>
      </c>
      <c r="H394" s="390"/>
      <c r="I394" s="390"/>
      <c r="J394" s="390"/>
      <c r="K394" s="364" t="s">
        <v>125</v>
      </c>
      <c r="L394" s="384">
        <f>ROUND(L385,6)</f>
        <v>3.3144E-2</v>
      </c>
      <c r="M394" s="398">
        <v>-0.82707699999999995</v>
      </c>
      <c r="O394" s="86"/>
    </row>
    <row r="395" spans="1:16" x14ac:dyDescent="0.25">
      <c r="A395" s="325">
        <f t="shared" si="51"/>
        <v>0.92999999999999972</v>
      </c>
      <c r="B395" s="196">
        <f t="shared" si="46"/>
        <v>0.86489999999999945</v>
      </c>
      <c r="C395" s="344">
        <f t="shared" si="47"/>
        <v>0.80435699999999921</v>
      </c>
      <c r="D395" s="156">
        <f t="shared" si="52"/>
        <v>88.0488461538461</v>
      </c>
      <c r="E395" s="112">
        <f t="shared" si="48"/>
        <v>1976.6800141282997</v>
      </c>
      <c r="F395" s="261">
        <f t="shared" si="49"/>
        <v>0.81885426923076832</v>
      </c>
      <c r="G395" s="376">
        <f t="shared" si="50"/>
        <v>0.81938216662430008</v>
      </c>
      <c r="H395" s="390"/>
      <c r="I395" s="390"/>
      <c r="J395" s="390"/>
      <c r="K395" s="364" t="s">
        <v>126</v>
      </c>
      <c r="L395" s="384">
        <f>ROUND(K385,6)</f>
        <v>0.217913</v>
      </c>
      <c r="M395" s="398">
        <v>1.1811910000000001</v>
      </c>
      <c r="O395" s="86"/>
    </row>
    <row r="396" spans="1:16" x14ac:dyDescent="0.25">
      <c r="A396" s="369">
        <v>1</v>
      </c>
      <c r="B396" s="196">
        <f t="shared" si="46"/>
        <v>1</v>
      </c>
      <c r="C396" s="344">
        <f t="shared" si="47"/>
        <v>1</v>
      </c>
      <c r="D396" s="156">
        <f>$L$398</f>
        <v>100</v>
      </c>
      <c r="E396" s="112">
        <f t="shared" si="48"/>
        <v>2413.9582443469371</v>
      </c>
      <c r="F396" s="261">
        <f t="shared" si="49"/>
        <v>1</v>
      </c>
      <c r="G396" s="376">
        <f t="shared" si="50"/>
        <v>0.9971004747196196</v>
      </c>
      <c r="H396" s="390"/>
      <c r="I396" s="390"/>
      <c r="J396" s="390"/>
      <c r="K396" s="364" t="s">
        <v>127</v>
      </c>
      <c r="L396" s="384">
        <f>ROUND(J385,6)</f>
        <v>0.74604300000000001</v>
      </c>
      <c r="M396" s="398">
        <v>0.44205499999999998</v>
      </c>
      <c r="O396" s="86"/>
    </row>
    <row r="397" spans="1:16" x14ac:dyDescent="0.25">
      <c r="O397" s="86"/>
    </row>
    <row r="398" spans="1:16" x14ac:dyDescent="0.25">
      <c r="A398" s="160" t="s">
        <v>289</v>
      </c>
      <c r="B398" s="161" t="s">
        <v>290</v>
      </c>
      <c r="K398" s="160" t="s">
        <v>291</v>
      </c>
      <c r="L398" s="278">
        <v>100</v>
      </c>
      <c r="M398" s="86" t="s">
        <v>292</v>
      </c>
      <c r="O398" s="86"/>
    </row>
    <row r="399" spans="1:16" x14ac:dyDescent="0.25">
      <c r="A399" s="160"/>
      <c r="B399" s="161"/>
      <c r="K399" s="160" t="s">
        <v>293</v>
      </c>
      <c r="L399" s="278">
        <v>5</v>
      </c>
      <c r="M399" s="86" t="s">
        <v>294</v>
      </c>
      <c r="O399" s="86"/>
    </row>
    <row r="400" spans="1:16" x14ac:dyDescent="0.25">
      <c r="A400" s="160"/>
      <c r="B400" s="399"/>
      <c r="C400" s="400"/>
      <c r="F400" s="272"/>
      <c r="K400" s="400"/>
      <c r="L400" s="226"/>
      <c r="M400" s="226"/>
      <c r="O400" s="86"/>
    </row>
    <row r="401" spans="1:15" x14ac:dyDescent="0.25">
      <c r="A401" s="160"/>
      <c r="B401" s="399"/>
      <c r="C401" s="400"/>
      <c r="F401" s="272"/>
      <c r="K401" s="400"/>
      <c r="L401" s="226"/>
      <c r="M401" s="226"/>
      <c r="O401" s="86"/>
    </row>
    <row r="402" spans="1:15" x14ac:dyDescent="0.25">
      <c r="A402" s="360" t="s">
        <v>295</v>
      </c>
      <c r="B402" s="361"/>
      <c r="C402" s="361"/>
      <c r="D402" s="361"/>
      <c r="E402" s="361"/>
      <c r="F402" s="361"/>
      <c r="G402" s="361"/>
      <c r="H402" s="361"/>
      <c r="I402" s="361"/>
      <c r="J402" s="361"/>
      <c r="K402" s="364" t="s">
        <v>96</v>
      </c>
      <c r="L402" s="364" t="s">
        <v>94</v>
      </c>
      <c r="M402" s="364" t="s">
        <v>95</v>
      </c>
      <c r="O402" s="86"/>
    </row>
    <row r="403" spans="1:15" x14ac:dyDescent="0.25">
      <c r="A403" s="160" t="s">
        <v>280</v>
      </c>
      <c r="B403" s="160" t="s">
        <v>281</v>
      </c>
      <c r="C403" s="160" t="s">
        <v>296</v>
      </c>
      <c r="D403" s="272" t="s">
        <v>297</v>
      </c>
      <c r="E403" s="272" t="s">
        <v>285</v>
      </c>
      <c r="F403" s="272" t="s">
        <v>286</v>
      </c>
      <c r="G403" s="390"/>
      <c r="H403" s="390"/>
      <c r="I403" s="390"/>
      <c r="J403" s="390"/>
      <c r="K403" s="371">
        <f t="array" ref="K403:M407">LINEST(E404:E409,A404:B409,FALSE,TRUE)</f>
        <v>-0.33074534161490637</v>
      </c>
      <c r="L403" s="371">
        <v>1.3391552795031052</v>
      </c>
      <c r="M403" s="371">
        <v>0</v>
      </c>
    </row>
    <row r="404" spans="1:15" x14ac:dyDescent="0.25">
      <c r="A404" s="397">
        <v>0</v>
      </c>
      <c r="B404" s="196">
        <f t="shared" ref="B404:B409" si="53">A404^2</f>
        <v>0</v>
      </c>
      <c r="C404" s="159">
        <f>C409*1.25</f>
        <v>75</v>
      </c>
      <c r="D404" s="112">
        <f t="shared" ref="D404:D409" si="54">A404*100*C404/3962/0.78*746</f>
        <v>0</v>
      </c>
      <c r="E404" s="261">
        <f t="shared" ref="E404:E409" si="55">D404/$D$409</f>
        <v>0</v>
      </c>
      <c r="F404" s="261">
        <f t="shared" ref="F404:F409" si="56">$M$403+$L$403*A404+$K$403*B404</f>
        <v>0</v>
      </c>
      <c r="G404" s="390"/>
      <c r="H404" s="390"/>
      <c r="I404" s="390"/>
      <c r="J404" s="390"/>
      <c r="K404" s="254">
        <v>3.3170006259074396E-2</v>
      </c>
      <c r="L404" s="254">
        <v>2.7988881943401187E-2</v>
      </c>
      <c r="M404" s="254" t="e">
        <v>#N/A</v>
      </c>
    </row>
    <row r="405" spans="1:15" x14ac:dyDescent="0.25">
      <c r="A405" s="325">
        <f>A404+0.2</f>
        <v>0.2</v>
      </c>
      <c r="B405" s="196">
        <f t="shared" si="53"/>
        <v>4.0000000000000008E-2</v>
      </c>
      <c r="C405" s="159">
        <f>C409*1.22</f>
        <v>73.2</v>
      </c>
      <c r="D405" s="112">
        <f t="shared" si="54"/>
        <v>353.40348697239153</v>
      </c>
      <c r="E405" s="261">
        <f t="shared" si="55"/>
        <v>0.24399999999999997</v>
      </c>
      <c r="F405" s="261">
        <f t="shared" si="56"/>
        <v>0.25460124223602482</v>
      </c>
      <c r="G405" s="390"/>
      <c r="H405" s="390"/>
      <c r="I405" s="390"/>
      <c r="J405" s="390"/>
      <c r="K405" s="253">
        <v>0.99983657572748497</v>
      </c>
      <c r="L405" s="254">
        <v>1.0152012314672739E-2</v>
      </c>
      <c r="M405" s="254" t="e">
        <v>#N/A</v>
      </c>
    </row>
    <row r="406" spans="1:15" x14ac:dyDescent="0.25">
      <c r="A406" s="325">
        <f>A405+0.2</f>
        <v>0.4</v>
      </c>
      <c r="B406" s="196">
        <f t="shared" si="53"/>
        <v>0.16000000000000003</v>
      </c>
      <c r="C406" s="159">
        <f>C409*1.19</f>
        <v>71.399999999999991</v>
      </c>
      <c r="D406" s="112">
        <f t="shared" si="54"/>
        <v>689.42647458548504</v>
      </c>
      <c r="E406" s="261">
        <f t="shared" si="55"/>
        <v>0.47599999999999987</v>
      </c>
      <c r="F406" s="261">
        <f t="shared" si="56"/>
        <v>0.48274285714285708</v>
      </c>
      <c r="G406" s="390"/>
      <c r="H406" s="390"/>
      <c r="I406" s="390"/>
      <c r="J406" s="390"/>
      <c r="K406" s="252">
        <v>12236.084154955055</v>
      </c>
      <c r="L406" s="254">
        <v>4</v>
      </c>
      <c r="M406" s="254" t="e">
        <v>#N/A</v>
      </c>
    </row>
    <row r="407" spans="1:15" x14ac:dyDescent="0.25">
      <c r="A407" s="325">
        <f>A406+0.2</f>
        <v>0.60000000000000009</v>
      </c>
      <c r="B407" s="196">
        <f t="shared" si="53"/>
        <v>0.3600000000000001</v>
      </c>
      <c r="C407" s="159">
        <f>C409*1.15</f>
        <v>69</v>
      </c>
      <c r="D407" s="112">
        <f t="shared" si="54"/>
        <v>999.37871315963207</v>
      </c>
      <c r="E407" s="261">
        <f t="shared" si="55"/>
        <v>0.69000000000000006</v>
      </c>
      <c r="F407" s="261">
        <f t="shared" si="56"/>
        <v>0.68442484472049681</v>
      </c>
      <c r="G407" s="390"/>
      <c r="H407" s="390"/>
      <c r="I407" s="390"/>
      <c r="J407" s="390"/>
      <c r="K407" s="255">
        <v>2.5221837465838504</v>
      </c>
      <c r="L407" s="254">
        <v>4.122534161490678E-4</v>
      </c>
      <c r="M407" s="254" t="e">
        <v>#N/A</v>
      </c>
    </row>
    <row r="408" spans="1:15" x14ac:dyDescent="0.25">
      <c r="A408" s="325">
        <f>A407+0.2</f>
        <v>0.8</v>
      </c>
      <c r="B408" s="196">
        <f t="shared" si="53"/>
        <v>0.64000000000000012</v>
      </c>
      <c r="C408" s="159">
        <f>C409*1.09</f>
        <v>65.400000000000006</v>
      </c>
      <c r="D408" s="112">
        <f t="shared" si="54"/>
        <v>1262.9829534423172</v>
      </c>
      <c r="E408" s="261">
        <f t="shared" si="55"/>
        <v>0.87199999999999989</v>
      </c>
      <c r="F408" s="261">
        <f t="shared" si="56"/>
        <v>0.85964720496894409</v>
      </c>
      <c r="G408" s="390"/>
      <c r="H408" s="390"/>
      <c r="I408" s="390"/>
      <c r="J408" s="390"/>
    </row>
    <row r="409" spans="1:15" x14ac:dyDescent="0.25">
      <c r="A409" s="325">
        <f>A408+0.2</f>
        <v>1</v>
      </c>
      <c r="B409" s="196">
        <f t="shared" si="53"/>
        <v>1</v>
      </c>
      <c r="C409" s="159">
        <v>60</v>
      </c>
      <c r="D409" s="112">
        <f t="shared" si="54"/>
        <v>1448.3749466081622</v>
      </c>
      <c r="E409" s="261">
        <f t="shared" si="55"/>
        <v>1</v>
      </c>
      <c r="F409" s="261">
        <f t="shared" si="56"/>
        <v>1.0084099378881988</v>
      </c>
      <c r="G409" s="390"/>
      <c r="H409" s="390"/>
      <c r="I409" s="390"/>
      <c r="J409" s="390"/>
      <c r="K409" s="360" t="s">
        <v>264</v>
      </c>
      <c r="L409" s="361"/>
    </row>
    <row r="410" spans="1:15" x14ac:dyDescent="0.25">
      <c r="F410" s="156"/>
      <c r="G410" s="390"/>
      <c r="H410" s="390"/>
      <c r="I410" s="390"/>
      <c r="J410" s="390"/>
      <c r="K410" s="401"/>
      <c r="L410" s="361" t="s">
        <v>298</v>
      </c>
    </row>
    <row r="411" spans="1:15" x14ac:dyDescent="0.25">
      <c r="A411" s="159"/>
      <c r="B411" s="159"/>
      <c r="C411" s="159"/>
      <c r="F411" s="156"/>
      <c r="G411" s="390"/>
      <c r="H411" s="390"/>
      <c r="I411" s="390"/>
      <c r="J411" s="390"/>
      <c r="K411" s="364" t="s">
        <v>124</v>
      </c>
      <c r="L411" s="384">
        <f>ROUND(M403,6)</f>
        <v>0</v>
      </c>
    </row>
    <row r="412" spans="1:15" x14ac:dyDescent="0.25">
      <c r="A412" s="159"/>
      <c r="B412" s="159"/>
      <c r="C412" s="159"/>
      <c r="F412" s="156"/>
      <c r="G412" s="390"/>
      <c r="H412" s="390"/>
      <c r="I412" s="390"/>
      <c r="J412" s="390"/>
      <c r="K412" s="364" t="s">
        <v>125</v>
      </c>
      <c r="L412" s="384">
        <f>ROUND(L403,6)</f>
        <v>1.3391550000000001</v>
      </c>
    </row>
    <row r="413" spans="1:15" x14ac:dyDescent="0.25">
      <c r="A413" s="159"/>
      <c r="B413" s="159"/>
      <c r="C413" s="159"/>
      <c r="F413" s="156"/>
      <c r="G413" s="390"/>
      <c r="H413" s="390"/>
      <c r="I413" s="390"/>
      <c r="J413" s="390"/>
      <c r="K413" s="364" t="s">
        <v>126</v>
      </c>
      <c r="L413" s="384">
        <f>ROUND(K403,6)</f>
        <v>-0.33074500000000001</v>
      </c>
    </row>
    <row r="414" spans="1:15" x14ac:dyDescent="0.25">
      <c r="A414" s="159"/>
      <c r="B414" s="159"/>
      <c r="C414" s="159"/>
      <c r="F414" s="156"/>
      <c r="G414" s="390"/>
      <c r="H414" s="390"/>
      <c r="I414" s="390"/>
      <c r="J414" s="390"/>
      <c r="K414" s="364" t="s">
        <v>127</v>
      </c>
      <c r="L414" s="374">
        <v>0</v>
      </c>
    </row>
    <row r="415" spans="1:15" x14ac:dyDescent="0.25">
      <c r="A415" s="160" t="s">
        <v>269</v>
      </c>
      <c r="B415" s="86" t="s">
        <v>299</v>
      </c>
      <c r="C415" s="159"/>
      <c r="K415" s="402"/>
      <c r="L415" s="402"/>
      <c r="M415" s="403"/>
    </row>
    <row r="416" spans="1:15" x14ac:dyDescent="0.25">
      <c r="B416" s="86" t="s">
        <v>300</v>
      </c>
      <c r="C416" s="159"/>
      <c r="K416" s="402"/>
      <c r="L416" s="402"/>
      <c r="M416" s="403"/>
    </row>
    <row r="417" spans="1:16" x14ac:dyDescent="0.25">
      <c r="B417" s="86" t="e">
        <v>#REF!</v>
      </c>
      <c r="C417" s="159"/>
      <c r="G417" s="160"/>
      <c r="H417" s="402"/>
    </row>
    <row r="418" spans="1:16" x14ac:dyDescent="0.25">
      <c r="B418" s="86" t="e">
        <v>#REF!</v>
      </c>
    </row>
    <row r="423" spans="1:16" x14ac:dyDescent="0.25">
      <c r="A423" s="360" t="s">
        <v>301</v>
      </c>
      <c r="B423" s="361"/>
      <c r="C423" s="361"/>
      <c r="D423" s="361"/>
      <c r="E423" s="361"/>
      <c r="F423" s="361"/>
      <c r="G423" s="361"/>
      <c r="H423" s="364" t="s">
        <v>97</v>
      </c>
      <c r="I423" s="364" t="s">
        <v>96</v>
      </c>
      <c r="J423" s="364" t="s">
        <v>94</v>
      </c>
      <c r="K423" s="364" t="s">
        <v>95</v>
      </c>
      <c r="O423" s="226"/>
      <c r="P423" s="226"/>
    </row>
    <row r="424" spans="1:16" ht="30" x14ac:dyDescent="0.25">
      <c r="A424" s="210" t="s">
        <v>302</v>
      </c>
      <c r="B424" s="210" t="s">
        <v>303</v>
      </c>
      <c r="C424" s="210" t="s">
        <v>304</v>
      </c>
      <c r="D424" s="275" t="s">
        <v>283</v>
      </c>
      <c r="E424" s="275" t="s">
        <v>284</v>
      </c>
      <c r="F424" s="275" t="s">
        <v>305</v>
      </c>
      <c r="G424" s="275" t="s">
        <v>286</v>
      </c>
      <c r="H424" s="251">
        <f t="array" ref="H424:K428">LINEST(F425:F435,A425:C435,FALSE,TRUE)</f>
        <v>0.87500000000000011</v>
      </c>
      <c r="I424" s="251">
        <v>1.9090267834405602E-16</v>
      </c>
      <c r="J424" s="371">
        <v>0.12500000000000011</v>
      </c>
      <c r="K424" s="371">
        <v>0</v>
      </c>
      <c r="O424" s="226"/>
      <c r="P424" s="226"/>
    </row>
    <row r="425" spans="1:16" x14ac:dyDescent="0.25">
      <c r="A425" s="402">
        <v>0</v>
      </c>
      <c r="B425" s="272">
        <f t="shared" ref="B425:B435" si="57">A425^2</f>
        <v>0</v>
      </c>
      <c r="C425" s="404">
        <f t="shared" ref="C425:C435" si="58">A425^3</f>
        <v>0</v>
      </c>
      <c r="D425" s="156">
        <f>I438</f>
        <v>0.5</v>
      </c>
      <c r="E425" s="112">
        <f t="shared" ref="E425:E435" si="59">A425*$I$440*D425/6356/$I$439*746</f>
        <v>0</v>
      </c>
      <c r="F425" s="261">
        <f t="shared" ref="F425:F435" si="60">E425/$E$435</f>
        <v>0</v>
      </c>
      <c r="G425" s="261">
        <f t="shared" ref="G425:G435" si="61">$K$424+$J$424*A425+$I$424*B425+$H$424*C425</f>
        <v>0</v>
      </c>
      <c r="H425" s="252">
        <v>1.1037262675898497E-15</v>
      </c>
      <c r="I425" s="252">
        <v>1.5570729163347705E-15</v>
      </c>
      <c r="J425" s="254">
        <v>5.2343679609360662E-16</v>
      </c>
      <c r="K425" s="254" t="e">
        <v>#N/A</v>
      </c>
      <c r="O425" s="86"/>
    </row>
    <row r="426" spans="1:16" x14ac:dyDescent="0.25">
      <c r="A426" s="261">
        <f t="shared" ref="A426:A435" si="62">A425+0.1</f>
        <v>0.1</v>
      </c>
      <c r="B426" s="272">
        <f t="shared" si="57"/>
        <v>1.0000000000000002E-2</v>
      </c>
      <c r="C426" s="404">
        <f t="shared" si="58"/>
        <v>1.0000000000000002E-3</v>
      </c>
      <c r="D426" s="156">
        <f t="shared" ref="D426:D434" si="63">$D$425+(A426)^2*($D$435-$D$425)</f>
        <v>0.53500000000000003</v>
      </c>
      <c r="E426" s="112">
        <f t="shared" si="59"/>
        <v>156.98159219634991</v>
      </c>
      <c r="F426" s="261">
        <f t="shared" si="60"/>
        <v>1.3375000000000005E-2</v>
      </c>
      <c r="G426" s="261">
        <f t="shared" si="61"/>
        <v>1.3375000000000014E-2</v>
      </c>
      <c r="H426" s="253">
        <v>1</v>
      </c>
      <c r="I426" s="254">
        <v>1.0122119172214747E-16</v>
      </c>
      <c r="J426" s="254" t="e">
        <v>#N/A</v>
      </c>
      <c r="K426" s="254" t="e">
        <v>#N/A</v>
      </c>
      <c r="O426" s="86"/>
    </row>
    <row r="427" spans="1:16" x14ac:dyDescent="0.25">
      <c r="A427" s="261">
        <f t="shared" si="62"/>
        <v>0.2</v>
      </c>
      <c r="B427" s="272">
        <f t="shared" si="57"/>
        <v>4.0000000000000008E-2</v>
      </c>
      <c r="C427" s="404">
        <f t="shared" si="58"/>
        <v>8.0000000000000019E-3</v>
      </c>
      <c r="D427" s="156">
        <f t="shared" si="63"/>
        <v>0.64</v>
      </c>
      <c r="E427" s="112">
        <f t="shared" si="59"/>
        <v>375.58212712397733</v>
      </c>
      <c r="F427" s="261">
        <f t="shared" si="60"/>
        <v>3.2000000000000008E-2</v>
      </c>
      <c r="G427" s="261">
        <f t="shared" si="61"/>
        <v>3.2000000000000028E-2</v>
      </c>
      <c r="H427" s="252">
        <v>6.9265668888246875E+31</v>
      </c>
      <c r="I427" s="252">
        <v>8</v>
      </c>
      <c r="J427" s="254" t="e">
        <v>#N/A</v>
      </c>
      <c r="K427" s="254" t="e">
        <v>#N/A</v>
      </c>
      <c r="O427" s="86"/>
    </row>
    <row r="428" spans="1:16" x14ac:dyDescent="0.25">
      <c r="A428" s="261">
        <f t="shared" si="62"/>
        <v>0.30000000000000004</v>
      </c>
      <c r="B428" s="272">
        <f t="shared" si="57"/>
        <v>9.0000000000000024E-2</v>
      </c>
      <c r="C428" s="404">
        <f t="shared" si="58"/>
        <v>2.700000000000001E-2</v>
      </c>
      <c r="D428" s="156">
        <f t="shared" si="63"/>
        <v>0.81500000000000006</v>
      </c>
      <c r="E428" s="112">
        <f t="shared" si="59"/>
        <v>717.42054751415992</v>
      </c>
      <c r="F428" s="261">
        <f t="shared" si="60"/>
        <v>6.1125000000000027E-2</v>
      </c>
      <c r="G428" s="261">
        <f t="shared" si="61"/>
        <v>6.1125000000000068E-2</v>
      </c>
      <c r="H428" s="255">
        <v>2.1290319531250002</v>
      </c>
      <c r="I428" s="255">
        <v>8.1965837229213882E-32</v>
      </c>
      <c r="J428" s="254" t="e">
        <v>#N/A</v>
      </c>
      <c r="K428" s="254" t="e">
        <v>#N/A</v>
      </c>
      <c r="O428" s="86"/>
    </row>
    <row r="429" spans="1:16" x14ac:dyDescent="0.25">
      <c r="A429" s="261">
        <f t="shared" si="62"/>
        <v>0.4</v>
      </c>
      <c r="B429" s="272">
        <f t="shared" si="57"/>
        <v>0.16000000000000003</v>
      </c>
      <c r="C429" s="404">
        <f t="shared" si="58"/>
        <v>6.4000000000000015E-2</v>
      </c>
      <c r="D429" s="156">
        <f t="shared" si="63"/>
        <v>1.06</v>
      </c>
      <c r="E429" s="112">
        <f t="shared" si="59"/>
        <v>1244.115796098175</v>
      </c>
      <c r="F429" s="261">
        <f t="shared" si="60"/>
        <v>0.10600000000000004</v>
      </c>
      <c r="G429" s="261">
        <f t="shared" si="61"/>
        <v>0.10600000000000009</v>
      </c>
      <c r="K429" s="405"/>
      <c r="L429" s="306"/>
      <c r="M429" s="306"/>
      <c r="O429" s="86"/>
    </row>
    <row r="430" spans="1:16" x14ac:dyDescent="0.25">
      <c r="A430" s="261">
        <f t="shared" si="62"/>
        <v>0.5</v>
      </c>
      <c r="B430" s="272">
        <f t="shared" si="57"/>
        <v>0.25</v>
      </c>
      <c r="C430" s="404">
        <f t="shared" si="58"/>
        <v>0.125</v>
      </c>
      <c r="D430" s="156">
        <f t="shared" si="63"/>
        <v>1.375</v>
      </c>
      <c r="E430" s="112">
        <f t="shared" si="59"/>
        <v>2017.2868156073</v>
      </c>
      <c r="F430" s="261">
        <f t="shared" si="60"/>
        <v>0.17187500000000003</v>
      </c>
      <c r="G430" s="261">
        <f t="shared" si="61"/>
        <v>0.17187500000000011</v>
      </c>
      <c r="H430" s="360" t="s">
        <v>264</v>
      </c>
      <c r="I430" s="361"/>
      <c r="J430" s="361"/>
      <c r="K430" s="142"/>
      <c r="L430" s="306"/>
      <c r="M430" s="306"/>
      <c r="O430" s="86"/>
    </row>
    <row r="431" spans="1:16" x14ac:dyDescent="0.25">
      <c r="A431" s="261">
        <f t="shared" si="62"/>
        <v>0.6</v>
      </c>
      <c r="B431" s="272">
        <f t="shared" si="57"/>
        <v>0.36</v>
      </c>
      <c r="C431" s="404">
        <f t="shared" si="58"/>
        <v>0.216</v>
      </c>
      <c r="D431" s="156">
        <f t="shared" si="63"/>
        <v>1.76</v>
      </c>
      <c r="E431" s="112">
        <f t="shared" si="59"/>
        <v>3098.5525487728128</v>
      </c>
      <c r="F431" s="261">
        <f t="shared" si="60"/>
        <v>0.26400000000000007</v>
      </c>
      <c r="G431" s="261">
        <f t="shared" si="61"/>
        <v>0.26400000000000018</v>
      </c>
      <c r="I431" s="361" t="s">
        <v>287</v>
      </c>
      <c r="J431" s="361" t="s">
        <v>288</v>
      </c>
      <c r="K431" s="142"/>
      <c r="L431" s="142"/>
      <c r="M431" s="142"/>
      <c r="O431" s="86"/>
    </row>
    <row r="432" spans="1:16" x14ac:dyDescent="0.25">
      <c r="A432" s="261">
        <f t="shared" si="62"/>
        <v>0.7</v>
      </c>
      <c r="B432" s="272">
        <f t="shared" si="57"/>
        <v>0.48999999999999994</v>
      </c>
      <c r="C432" s="404">
        <f t="shared" si="58"/>
        <v>0.34299999999999992</v>
      </c>
      <c r="D432" s="156">
        <f t="shared" si="63"/>
        <v>2.2149999999999999</v>
      </c>
      <c r="E432" s="112">
        <f t="shared" si="59"/>
        <v>4549.5319383259903</v>
      </c>
      <c r="F432" s="261">
        <f t="shared" si="60"/>
        <v>0.38762500000000005</v>
      </c>
      <c r="G432" s="261">
        <f t="shared" si="61"/>
        <v>0.38762500000000016</v>
      </c>
      <c r="H432" s="364" t="s">
        <v>124</v>
      </c>
      <c r="I432" s="384">
        <f>ROUND(K424,6)</f>
        <v>0</v>
      </c>
      <c r="J432" s="398">
        <v>1.2999999999999999E-3</v>
      </c>
      <c r="K432" s="226"/>
      <c r="L432" s="226"/>
      <c r="M432" s="226"/>
      <c r="O432" s="86"/>
    </row>
    <row r="433" spans="1:19" x14ac:dyDescent="0.25">
      <c r="A433" s="261">
        <f t="shared" si="62"/>
        <v>0.79999999999999993</v>
      </c>
      <c r="B433" s="272">
        <f t="shared" si="57"/>
        <v>0.6399999999999999</v>
      </c>
      <c r="C433" s="404">
        <f t="shared" si="58"/>
        <v>0.5119999999999999</v>
      </c>
      <c r="D433" s="156">
        <f t="shared" si="63"/>
        <v>2.7399999999999998</v>
      </c>
      <c r="E433" s="112">
        <f t="shared" si="59"/>
        <v>6431.84392699811</v>
      </c>
      <c r="F433" s="261">
        <f t="shared" si="60"/>
        <v>0.54800000000000004</v>
      </c>
      <c r="G433" s="261">
        <f t="shared" si="61"/>
        <v>0.54800000000000015</v>
      </c>
      <c r="H433" s="364" t="s">
        <v>125</v>
      </c>
      <c r="I433" s="384">
        <f>ROUND(J424,6)</f>
        <v>0.125</v>
      </c>
      <c r="J433" s="398">
        <v>0.14699999999999999</v>
      </c>
      <c r="K433" s="385"/>
      <c r="L433" s="385"/>
      <c r="M433" s="406"/>
      <c r="O433" s="86"/>
    </row>
    <row r="434" spans="1:19" x14ac:dyDescent="0.25">
      <c r="A434" s="261">
        <f t="shared" si="62"/>
        <v>0.89999999999999991</v>
      </c>
      <c r="B434" s="272">
        <f t="shared" si="57"/>
        <v>0.80999999999999983</v>
      </c>
      <c r="C434" s="404">
        <f t="shared" si="58"/>
        <v>0.72899999999999976</v>
      </c>
      <c r="D434" s="156">
        <f t="shared" si="63"/>
        <v>3.3349999999999995</v>
      </c>
      <c r="E434" s="112">
        <f t="shared" si="59"/>
        <v>8807.1074575204511</v>
      </c>
      <c r="F434" s="261">
        <f t="shared" si="60"/>
        <v>0.75037500000000001</v>
      </c>
      <c r="G434" s="261">
        <f t="shared" si="61"/>
        <v>0.75037500000000013</v>
      </c>
      <c r="H434" s="364" t="s">
        <v>126</v>
      </c>
      <c r="I434" s="384">
        <f>ROUND(I424,6)</f>
        <v>0</v>
      </c>
      <c r="J434" s="398">
        <v>0.9506</v>
      </c>
      <c r="K434" s="385"/>
      <c r="L434" s="385"/>
      <c r="M434" s="406"/>
      <c r="O434" s="86"/>
    </row>
    <row r="435" spans="1:19" x14ac:dyDescent="0.25">
      <c r="A435" s="261">
        <f t="shared" si="62"/>
        <v>0.99999999999999989</v>
      </c>
      <c r="B435" s="272">
        <f t="shared" si="57"/>
        <v>0.99999999999999978</v>
      </c>
      <c r="C435" s="404">
        <f t="shared" si="58"/>
        <v>0.99999999999999967</v>
      </c>
      <c r="D435" s="156">
        <f>I437</f>
        <v>4</v>
      </c>
      <c r="E435" s="112">
        <f t="shared" si="59"/>
        <v>11736.941472624289</v>
      </c>
      <c r="F435" s="261">
        <f t="shared" si="60"/>
        <v>1</v>
      </c>
      <c r="G435" s="261">
        <f t="shared" si="61"/>
        <v>1</v>
      </c>
      <c r="H435" s="364" t="s">
        <v>127</v>
      </c>
      <c r="I435" s="384">
        <f>ROUND(H424,6)</f>
        <v>0.875</v>
      </c>
      <c r="J435" s="407" t="s">
        <v>306</v>
      </c>
      <c r="K435" s="385"/>
      <c r="L435" s="385"/>
      <c r="M435" s="406"/>
      <c r="O435" s="86"/>
    </row>
    <row r="436" spans="1:19" x14ac:dyDescent="0.25">
      <c r="K436" s="385"/>
      <c r="L436" s="385"/>
      <c r="M436" s="406"/>
      <c r="O436" s="86"/>
    </row>
    <row r="437" spans="1:19" x14ac:dyDescent="0.25">
      <c r="A437" s="408" t="s">
        <v>307</v>
      </c>
      <c r="B437" s="161"/>
      <c r="H437" s="160" t="s">
        <v>291</v>
      </c>
      <c r="I437" s="409">
        <v>4</v>
      </c>
      <c r="J437" s="86" t="s">
        <v>308</v>
      </c>
      <c r="K437" s="385"/>
      <c r="L437" s="385"/>
      <c r="M437" s="406"/>
      <c r="O437" s="86"/>
    </row>
    <row r="438" spans="1:19" x14ac:dyDescent="0.25">
      <c r="A438" s="160"/>
      <c r="B438" s="161"/>
      <c r="H438" s="160" t="s">
        <v>293</v>
      </c>
      <c r="I438" s="278">
        <v>0.5</v>
      </c>
      <c r="J438" s="86" t="s">
        <v>308</v>
      </c>
      <c r="K438" s="385"/>
      <c r="L438" s="385"/>
      <c r="M438" s="406"/>
      <c r="O438" s="86"/>
    </row>
    <row r="439" spans="1:19" x14ac:dyDescent="0.25">
      <c r="A439" s="160"/>
      <c r="B439" s="161"/>
      <c r="H439" s="160" t="s">
        <v>309</v>
      </c>
      <c r="I439" s="402">
        <v>0.4</v>
      </c>
      <c r="K439" s="385"/>
      <c r="L439" s="385"/>
      <c r="M439" s="406"/>
      <c r="O439" s="86"/>
    </row>
    <row r="440" spans="1:19" x14ac:dyDescent="0.25">
      <c r="A440" s="160"/>
      <c r="B440" s="161"/>
      <c r="H440" s="160" t="s">
        <v>310</v>
      </c>
      <c r="I440" s="410">
        <v>10000</v>
      </c>
      <c r="J440" s="86" t="s">
        <v>30</v>
      </c>
      <c r="K440" s="385"/>
      <c r="L440" s="385"/>
      <c r="M440" s="406"/>
      <c r="O440" s="86"/>
    </row>
    <row r="441" spans="1:19" ht="15.75" x14ac:dyDescent="0.25">
      <c r="A441" s="160"/>
      <c r="B441" s="161"/>
      <c r="G441" s="160"/>
      <c r="H441" s="278"/>
      <c r="J441" s="385"/>
      <c r="K441" s="406"/>
      <c r="L441" s="385"/>
      <c r="M441" s="406"/>
      <c r="O441" s="86"/>
      <c r="R441" s="411"/>
      <c r="S441" s="411"/>
    </row>
    <row r="442" spans="1:19" x14ac:dyDescent="0.25">
      <c r="A442" s="360" t="s">
        <v>311</v>
      </c>
      <c r="B442" s="361"/>
      <c r="C442" s="361"/>
      <c r="D442" s="361"/>
      <c r="E442" s="361"/>
      <c r="F442" s="361"/>
      <c r="G442" s="364"/>
      <c r="H442" s="364" t="s">
        <v>97</v>
      </c>
      <c r="I442" s="364" t="s">
        <v>96</v>
      </c>
      <c r="J442" s="364" t="s">
        <v>94</v>
      </c>
      <c r="K442" s="364" t="s">
        <v>95</v>
      </c>
      <c r="L442" s="412"/>
      <c r="M442" s="226"/>
      <c r="O442" s="86"/>
    </row>
    <row r="443" spans="1:19" ht="30" x14ac:dyDescent="0.25">
      <c r="A443" s="210" t="s">
        <v>312</v>
      </c>
      <c r="B443" s="210" t="s">
        <v>313</v>
      </c>
      <c r="C443" s="210" t="s">
        <v>314</v>
      </c>
      <c r="D443" s="299"/>
      <c r="E443" s="210" t="s">
        <v>305</v>
      </c>
      <c r="F443" s="210" t="s">
        <v>286</v>
      </c>
      <c r="G443" s="299"/>
      <c r="H443" s="251">
        <f t="array" ref="H443:K447">LINEST(E444:E451,A444:C451,FALSE,TRUE)</f>
        <v>1.4165770945953837</v>
      </c>
      <c r="I443" s="251">
        <v>-1.9816901767827013</v>
      </c>
      <c r="J443" s="371">
        <v>1.5704321791656908</v>
      </c>
      <c r="K443" s="371">
        <v>0</v>
      </c>
      <c r="L443" s="413"/>
    </row>
    <row r="444" spans="1:19" x14ac:dyDescent="0.25">
      <c r="A444" s="397">
        <v>0</v>
      </c>
      <c r="B444" s="196">
        <f t="shared" ref="B444:B451" si="64">A444^2</f>
        <v>0</v>
      </c>
      <c r="C444" s="196">
        <f t="shared" ref="C444:C451" si="65">A444^3</f>
        <v>0</v>
      </c>
      <c r="D444" s="414"/>
      <c r="E444" s="415">
        <v>0</v>
      </c>
      <c r="F444" s="415">
        <f t="shared" ref="F444:F451" si="66">$K$443+$J$443*A444+$I$443*B444+$H$443*C444</f>
        <v>0</v>
      </c>
      <c r="G444" s="414"/>
      <c r="H444" s="252">
        <v>0.14732530979520655</v>
      </c>
      <c r="I444" s="252">
        <v>0.22004857923806084</v>
      </c>
      <c r="J444" s="254">
        <v>7.979359879272549E-2</v>
      </c>
      <c r="K444" s="254" t="e">
        <v>#N/A</v>
      </c>
      <c r="L444" s="413"/>
    </row>
    <row r="445" spans="1:19" x14ac:dyDescent="0.25">
      <c r="A445" s="325">
        <f>A444+0.25</f>
        <v>0.25</v>
      </c>
      <c r="B445" s="196">
        <f t="shared" si="64"/>
        <v>6.25E-2</v>
      </c>
      <c r="C445" s="196">
        <f t="shared" si="65"/>
        <v>1.5625E-2</v>
      </c>
      <c r="D445" s="414"/>
      <c r="E445" s="416">
        <v>0.30259999999999998</v>
      </c>
      <c r="F445" s="415">
        <f t="shared" si="66"/>
        <v>0.29088642584555668</v>
      </c>
      <c r="G445" s="414"/>
      <c r="H445" s="253">
        <v>0.99982486326627551</v>
      </c>
      <c r="I445" s="254">
        <v>1.057560702281285E-2</v>
      </c>
      <c r="J445" s="254" t="e">
        <v>#N/A</v>
      </c>
      <c r="K445" s="254" t="e">
        <v>#N/A</v>
      </c>
      <c r="L445" s="417"/>
    </row>
    <row r="446" spans="1:19" x14ac:dyDescent="0.25">
      <c r="A446" s="325">
        <f>A445+0.25</f>
        <v>0.5</v>
      </c>
      <c r="B446" s="196">
        <f t="shared" si="64"/>
        <v>0.25</v>
      </c>
      <c r="C446" s="196">
        <f t="shared" si="65"/>
        <v>0.125</v>
      </c>
      <c r="D446" s="414"/>
      <c r="E446" s="416">
        <v>0.44869999999999999</v>
      </c>
      <c r="F446" s="415">
        <f t="shared" si="66"/>
        <v>0.46686568221159302</v>
      </c>
      <c r="G446" s="414"/>
      <c r="H446" s="252">
        <v>9514.7073756205737</v>
      </c>
      <c r="I446" s="252">
        <v>5</v>
      </c>
      <c r="J446" s="254" t="e">
        <v>#N/A</v>
      </c>
      <c r="K446" s="254" t="e">
        <v>#N/A</v>
      </c>
      <c r="L446" s="413"/>
    </row>
    <row r="447" spans="1:19" x14ac:dyDescent="0.25">
      <c r="A447" s="325">
        <f>A446+0.1</f>
        <v>0.6</v>
      </c>
      <c r="B447" s="196">
        <f t="shared" si="64"/>
        <v>0.36</v>
      </c>
      <c r="C447" s="196">
        <f t="shared" si="65"/>
        <v>0.216</v>
      </c>
      <c r="D447" s="414"/>
      <c r="E447" s="416">
        <v>0.53849999999999998</v>
      </c>
      <c r="F447" s="415">
        <f t="shared" si="66"/>
        <v>0.53483149629024485</v>
      </c>
      <c r="G447" s="414"/>
      <c r="H447" s="255">
        <v>3.1924734926804947</v>
      </c>
      <c r="I447" s="255">
        <v>5.5921731950484238E-4</v>
      </c>
      <c r="J447" s="254" t="e">
        <v>#N/A</v>
      </c>
      <c r="K447" s="254" t="e">
        <v>#N/A</v>
      </c>
      <c r="L447" s="413"/>
    </row>
    <row r="448" spans="1:19" x14ac:dyDescent="0.25">
      <c r="A448" s="325">
        <v>0.7</v>
      </c>
      <c r="B448" s="196">
        <f t="shared" si="64"/>
        <v>0.48999999999999994</v>
      </c>
      <c r="C448" s="196">
        <f t="shared" si="65"/>
        <v>0.34299999999999992</v>
      </c>
      <c r="D448" s="414"/>
      <c r="E448" s="416">
        <v>0.61539999999999995</v>
      </c>
      <c r="F448" s="415">
        <f t="shared" si="66"/>
        <v>0.61416028223867636</v>
      </c>
      <c r="G448" s="414"/>
      <c r="L448" s="413"/>
      <c r="O448" s="86"/>
    </row>
    <row r="449" spans="1:15" x14ac:dyDescent="0.25">
      <c r="A449" s="325">
        <f>A448+0.1</f>
        <v>0.79999999999999993</v>
      </c>
      <c r="B449" s="196">
        <f t="shared" si="64"/>
        <v>0.6399999999999999</v>
      </c>
      <c r="C449" s="196">
        <f t="shared" si="65"/>
        <v>0.5119999999999999</v>
      </c>
      <c r="D449" s="414"/>
      <c r="E449" s="416">
        <v>0.71789999999999998</v>
      </c>
      <c r="F449" s="415">
        <f t="shared" si="66"/>
        <v>0.71335150262446001</v>
      </c>
      <c r="G449" s="414"/>
      <c r="L449" s="413"/>
      <c r="O449" s="86"/>
    </row>
    <row r="450" spans="1:15" x14ac:dyDescent="0.25">
      <c r="A450" s="325">
        <f>A449+0.1</f>
        <v>0.89999999999999991</v>
      </c>
      <c r="B450" s="196">
        <f t="shared" si="64"/>
        <v>0.80999999999999983</v>
      </c>
      <c r="C450" s="196">
        <f t="shared" si="65"/>
        <v>0.72899999999999976</v>
      </c>
      <c r="D450" s="414"/>
      <c r="E450" s="416">
        <v>0.84619999999999995</v>
      </c>
      <c r="F450" s="415">
        <f t="shared" si="66"/>
        <v>0.84090462001516819</v>
      </c>
      <c r="G450" s="414"/>
      <c r="L450" s="413"/>
      <c r="O450" s="86"/>
    </row>
    <row r="451" spans="1:15" x14ac:dyDescent="0.25">
      <c r="A451" s="325">
        <f>A450+0.1</f>
        <v>0.99999999999999989</v>
      </c>
      <c r="B451" s="196">
        <f t="shared" si="64"/>
        <v>0.99999999999999978</v>
      </c>
      <c r="C451" s="196">
        <f t="shared" si="65"/>
        <v>0.99999999999999967</v>
      </c>
      <c r="D451" s="414"/>
      <c r="E451" s="416">
        <v>1</v>
      </c>
      <c r="F451" s="415">
        <f t="shared" si="66"/>
        <v>1.005319096978373</v>
      </c>
      <c r="G451" s="414"/>
      <c r="H451" s="360" t="s">
        <v>264</v>
      </c>
      <c r="I451" s="361"/>
      <c r="L451" s="413"/>
      <c r="O451" s="86"/>
    </row>
    <row r="452" spans="1:15" x14ac:dyDescent="0.25">
      <c r="F452" s="156"/>
      <c r="H452" s="401"/>
      <c r="I452" s="361" t="s">
        <v>87</v>
      </c>
      <c r="L452" s="349"/>
      <c r="O452" s="86"/>
    </row>
    <row r="453" spans="1:15" x14ac:dyDescent="0.25">
      <c r="A453" s="418"/>
      <c r="B453" s="159"/>
      <c r="C453" s="159"/>
      <c r="F453" s="156"/>
      <c r="H453" s="364" t="s">
        <v>124</v>
      </c>
      <c r="I453" s="384">
        <f>ROUND(J443,6)</f>
        <v>1.5704320000000001</v>
      </c>
      <c r="L453" s="349"/>
      <c r="O453" s="86"/>
    </row>
    <row r="454" spans="1:15" x14ac:dyDescent="0.25">
      <c r="A454" s="161"/>
      <c r="B454" s="159"/>
      <c r="C454" s="159"/>
      <c r="F454" s="156"/>
      <c r="H454" s="364" t="s">
        <v>125</v>
      </c>
      <c r="I454" s="384">
        <f>ROUND(I443,6)</f>
        <v>-1.98169</v>
      </c>
      <c r="O454" s="86"/>
    </row>
    <row r="455" spans="1:15" x14ac:dyDescent="0.25">
      <c r="A455" s="159"/>
      <c r="B455" s="159"/>
      <c r="C455" s="159"/>
      <c r="F455" s="156"/>
      <c r="H455" s="364" t="s">
        <v>126</v>
      </c>
      <c r="I455" s="384">
        <f>ROUND(H443,6)</f>
        <v>1.416577</v>
      </c>
      <c r="O455" s="86"/>
    </row>
    <row r="456" spans="1:15" x14ac:dyDescent="0.25">
      <c r="A456" s="159"/>
      <c r="B456" s="419"/>
      <c r="C456" s="419"/>
      <c r="F456" s="156"/>
      <c r="H456" s="364" t="s">
        <v>127</v>
      </c>
      <c r="I456" s="374">
        <v>0</v>
      </c>
      <c r="O456" s="86"/>
    </row>
    <row r="457" spans="1:15" x14ac:dyDescent="0.25">
      <c r="A457" s="159"/>
      <c r="B457" s="419"/>
      <c r="C457" s="419"/>
      <c r="G457" s="402"/>
      <c r="H457" s="402"/>
      <c r="I457" s="403"/>
      <c r="K457" s="270"/>
      <c r="L457" s="270"/>
      <c r="O457" s="86"/>
    </row>
    <row r="462" spans="1:15" x14ac:dyDescent="0.25">
      <c r="A462" s="420" t="s">
        <v>315</v>
      </c>
    </row>
    <row r="463" spans="1:15" x14ac:dyDescent="0.25">
      <c r="A463" s="421" t="s">
        <v>316</v>
      </c>
    </row>
    <row r="464" spans="1:15" x14ac:dyDescent="0.25">
      <c r="A464" s="87"/>
    </row>
    <row r="465" spans="1:1" x14ac:dyDescent="0.25">
      <c r="A465" s="86" t="s">
        <v>317</v>
      </c>
    </row>
    <row r="466" spans="1:1" x14ac:dyDescent="0.25">
      <c r="A466" s="86" t="s">
        <v>318</v>
      </c>
    </row>
    <row r="468" spans="1:1" x14ac:dyDescent="0.25">
      <c r="A468" s="422" t="s">
        <v>319</v>
      </c>
    </row>
    <row r="469" spans="1:1" x14ac:dyDescent="0.25">
      <c r="A469" s="422" t="s">
        <v>320</v>
      </c>
    </row>
    <row r="470" spans="1:1" x14ac:dyDescent="0.25">
      <c r="A470" s="422" t="s">
        <v>321</v>
      </c>
    </row>
    <row r="471" spans="1:1" x14ac:dyDescent="0.25">
      <c r="A471" s="422" t="s">
        <v>322</v>
      </c>
    </row>
    <row r="473" spans="1:1" x14ac:dyDescent="0.25">
      <c r="A473" s="86" t="s">
        <v>323</v>
      </c>
    </row>
    <row r="474" spans="1:1" x14ac:dyDescent="0.25">
      <c r="A474" s="86" t="s">
        <v>324</v>
      </c>
    </row>
    <row r="476" spans="1:1" x14ac:dyDescent="0.25">
      <c r="A476" s="423" t="s">
        <v>325</v>
      </c>
    </row>
    <row r="477" spans="1:1" x14ac:dyDescent="0.25">
      <c r="A477" s="423" t="s">
        <v>326</v>
      </c>
    </row>
    <row r="478" spans="1:1" x14ac:dyDescent="0.25">
      <c r="A478" s="86" t="s">
        <v>327</v>
      </c>
    </row>
    <row r="479" spans="1:1" x14ac:dyDescent="0.25">
      <c r="A479" s="86" t="s">
        <v>328</v>
      </c>
    </row>
    <row r="480" spans="1:1" x14ac:dyDescent="0.25">
      <c r="A480" s="86" t="s">
        <v>329</v>
      </c>
    </row>
    <row r="481" spans="1:1" x14ac:dyDescent="0.25">
      <c r="A481" s="86" t="s">
        <v>330</v>
      </c>
    </row>
    <row r="482" spans="1:1" x14ac:dyDescent="0.25">
      <c r="A482" s="86" t="s">
        <v>331</v>
      </c>
    </row>
    <row r="483" spans="1:1" x14ac:dyDescent="0.25">
      <c r="A483" s="86" t="s">
        <v>328</v>
      </c>
    </row>
    <row r="484" spans="1:1" x14ac:dyDescent="0.25">
      <c r="A484" s="86" t="s">
        <v>332</v>
      </c>
    </row>
    <row r="485" spans="1:1" x14ac:dyDescent="0.25">
      <c r="A485" s="86" t="s">
        <v>333</v>
      </c>
    </row>
    <row r="486" spans="1:1" x14ac:dyDescent="0.25">
      <c r="A486" s="86" t="s">
        <v>334</v>
      </c>
    </row>
    <row r="487" spans="1:1" x14ac:dyDescent="0.25">
      <c r="A487" s="86" t="s">
        <v>335</v>
      </c>
    </row>
    <row r="488" spans="1:1" x14ac:dyDescent="0.25">
      <c r="A488" s="86" t="s">
        <v>336</v>
      </c>
    </row>
    <row r="489" spans="1:1" x14ac:dyDescent="0.25">
      <c r="A489" s="86" t="s">
        <v>337</v>
      </c>
    </row>
    <row r="490" spans="1:1" x14ac:dyDescent="0.25">
      <c r="A490" s="86" t="s">
        <v>338</v>
      </c>
    </row>
    <row r="491" spans="1:1" x14ac:dyDescent="0.25">
      <c r="A491" s="86" t="s">
        <v>328</v>
      </c>
    </row>
    <row r="492" spans="1:1" x14ac:dyDescent="0.25">
      <c r="A492" s="86" t="s">
        <v>339</v>
      </c>
    </row>
    <row r="493" spans="1:1" x14ac:dyDescent="0.25">
      <c r="A493" s="86" t="s">
        <v>340</v>
      </c>
    </row>
    <row r="494" spans="1:1" x14ac:dyDescent="0.25">
      <c r="A494" s="86" t="s">
        <v>341</v>
      </c>
    </row>
    <row r="495" spans="1:1" x14ac:dyDescent="0.25">
      <c r="A495" s="86" t="s">
        <v>342</v>
      </c>
    </row>
    <row r="496" spans="1:1" x14ac:dyDescent="0.25">
      <c r="A496" s="86" t="s">
        <v>343</v>
      </c>
    </row>
    <row r="497" spans="1:1" x14ac:dyDescent="0.25">
      <c r="A497" s="86" t="s">
        <v>344</v>
      </c>
    </row>
    <row r="499" spans="1:1" x14ac:dyDescent="0.25">
      <c r="A499" s="86" t="s">
        <v>345</v>
      </c>
    </row>
    <row r="500" spans="1:1" x14ac:dyDescent="0.25">
      <c r="A500" s="86" t="s">
        <v>346</v>
      </c>
    </row>
    <row r="501" spans="1:1" x14ac:dyDescent="0.25">
      <c r="A501" s="86" t="s">
        <v>347</v>
      </c>
    </row>
    <row r="503" spans="1:1" x14ac:dyDescent="0.25">
      <c r="A503" s="86" t="s">
        <v>348</v>
      </c>
    </row>
    <row r="504" spans="1:1" x14ac:dyDescent="0.25">
      <c r="A504" s="86" t="s">
        <v>349</v>
      </c>
    </row>
    <row r="505" spans="1:1" x14ac:dyDescent="0.25">
      <c r="A505" s="86" t="s">
        <v>350</v>
      </c>
    </row>
    <row r="506" spans="1:1" x14ac:dyDescent="0.25">
      <c r="A506" s="86" t="s">
        <v>328</v>
      </c>
    </row>
    <row r="507" spans="1:1" x14ac:dyDescent="0.25">
      <c r="A507" s="86" t="s">
        <v>351</v>
      </c>
    </row>
    <row r="508" spans="1:1" x14ac:dyDescent="0.25">
      <c r="A508" s="86" t="s">
        <v>328</v>
      </c>
    </row>
    <row r="509" spans="1:1" x14ac:dyDescent="0.25">
      <c r="A509" s="86" t="s">
        <v>352</v>
      </c>
    </row>
    <row r="510" spans="1:1" x14ac:dyDescent="0.25">
      <c r="A510" s="86" t="s">
        <v>353</v>
      </c>
    </row>
  </sheetData>
  <mergeCells count="62">
    <mergeCell ref="O343:Q343"/>
    <mergeCell ref="R343:T343"/>
    <mergeCell ref="U343:W343"/>
    <mergeCell ref="O317:Q317"/>
    <mergeCell ref="R317:T317"/>
    <mergeCell ref="U317:W317"/>
    <mergeCell ref="O330:Q330"/>
    <mergeCell ref="R330:T330"/>
    <mergeCell ref="U330:W330"/>
    <mergeCell ref="D292:G292"/>
    <mergeCell ref="AC292:AF292"/>
    <mergeCell ref="AG301:AH301"/>
    <mergeCell ref="O304:Q304"/>
    <mergeCell ref="R304:T304"/>
    <mergeCell ref="U304:W304"/>
    <mergeCell ref="D220:G220"/>
    <mergeCell ref="R233:T233"/>
    <mergeCell ref="AJ233:AL233"/>
    <mergeCell ref="A259:L259"/>
    <mergeCell ref="O291:Q291"/>
    <mergeCell ref="R291:T291"/>
    <mergeCell ref="U291:W291"/>
    <mergeCell ref="X163:Z163"/>
    <mergeCell ref="AA163:AC163"/>
    <mergeCell ref="A187:L187"/>
    <mergeCell ref="O219:Q219"/>
    <mergeCell ref="R219:T219"/>
    <mergeCell ref="X219:Z219"/>
    <mergeCell ref="AA219:AC219"/>
    <mergeCell ref="J148:L148"/>
    <mergeCell ref="M148:O148"/>
    <mergeCell ref="A163:M163"/>
    <mergeCell ref="O163:Q163"/>
    <mergeCell ref="R163:T163"/>
    <mergeCell ref="U163:W163"/>
    <mergeCell ref="G120:I120"/>
    <mergeCell ref="J120:L120"/>
    <mergeCell ref="M120:O120"/>
    <mergeCell ref="P120:R120"/>
    <mergeCell ref="J134:L134"/>
    <mergeCell ref="M134:O134"/>
    <mergeCell ref="V92:X92"/>
    <mergeCell ref="Y92:AA92"/>
    <mergeCell ref="D106:F106"/>
    <mergeCell ref="G106:I106"/>
    <mergeCell ref="J106:L106"/>
    <mergeCell ref="M106:O106"/>
    <mergeCell ref="P106:R106"/>
    <mergeCell ref="A61:H61"/>
    <mergeCell ref="A92:C92"/>
    <mergeCell ref="D92:F92"/>
    <mergeCell ref="G92:I92"/>
    <mergeCell ref="P92:R92"/>
    <mergeCell ref="S92:U92"/>
    <mergeCell ref="A1:K1"/>
    <mergeCell ref="L33:M33"/>
    <mergeCell ref="N33:P33"/>
    <mergeCell ref="Q33:T33"/>
    <mergeCell ref="H36:H41"/>
    <mergeCell ref="A46:C46"/>
    <mergeCell ref="D46:F46"/>
    <mergeCell ref="G46:I46"/>
  </mergeCells>
  <conditionalFormatting sqref="I36:I39">
    <cfRule type="expression" dxfId="4" priority="5">
      <formula>$L$37=MAX($L$37,$N$37,$Q$37)</formula>
    </cfRule>
  </conditionalFormatting>
  <conditionalFormatting sqref="J36:J40">
    <cfRule type="expression" dxfId="3" priority="4">
      <formula>$N$37=MAX($L$37,$N$37,$Q$37)</formula>
    </cfRule>
  </conditionalFormatting>
  <conditionalFormatting sqref="K36:K41">
    <cfRule type="expression" dxfId="2" priority="3">
      <formula>$Q$37=MAX($L$37,$N$37,$Q$37)</formula>
    </cfRule>
  </conditionalFormatting>
  <conditionalFormatting sqref="I40:I41">
    <cfRule type="expression" dxfId="1" priority="2">
      <formula>$L$37=MAX($L$37,$N$37,$Q$37)</formula>
    </cfRule>
  </conditionalFormatting>
  <conditionalFormatting sqref="J41">
    <cfRule type="expression" dxfId="0" priority="1">
      <formula>$N$37=MAX($L$37,$N$37,$Q$37)</formula>
    </cfRule>
  </conditionalFormatting>
  <pageMargins left="0.75" right="0.75" top="1" bottom="1" header="0.5" footer="0.5"/>
  <pageSetup scale="67"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INSTRUCTION</vt:lpstr>
      <vt:lpstr>INPUT</vt:lpstr>
      <vt:lpstr>OUTPUT</vt:lpstr>
      <vt:lpstr>PLRatio</vt:lpstr>
      <vt:lpstr>CoolingCoil</vt:lpstr>
      <vt:lpstr>CurveObjName</vt:lpstr>
      <vt:lpstr>CurveType</vt:lpstr>
      <vt:lpstr>DXCoilType</vt:lpstr>
      <vt:lpstr>EPCurveObjName</vt:lpstr>
      <vt:lpstr>HeatingCoil</vt:lpstr>
      <vt:lpstr>IndVariables</vt:lpstr>
      <vt:lpstr>PathName</vt:lpstr>
      <vt:lpstr>PLRatio!Print_Area</vt:lpstr>
      <vt:lpstr>RatedCondition</vt:lpstr>
      <vt:lpstr>UnitsType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Bereket Nigusse</dc:creator>
  <cp:lastModifiedBy>BPTmobile1</cp:lastModifiedBy>
  <dcterms:created xsi:type="dcterms:W3CDTF">2006-09-16T00:00:00Z</dcterms:created>
  <dcterms:modified xsi:type="dcterms:W3CDTF">2012-10-03T17:36:40Z</dcterms:modified>
</cp:coreProperties>
</file>