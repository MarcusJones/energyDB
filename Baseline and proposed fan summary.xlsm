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230" yWindow="4320" windowWidth="17400" windowHeight="10050" tabRatio="910" activeTab="3"/>
  </bookViews>
  <sheets>
    <sheet name="Proposed Fan Power &amp; EER" sheetId="3" r:id="rId1"/>
    <sheet name="Notes" sheetId="15" r:id="rId2"/>
    <sheet name="Fan Worksheet" sheetId="14" r:id="rId3"/>
    <sheet name="Baseline Fan Power &amp; EER" sheetId="1" r:id="rId4"/>
    <sheet name="Lookup Tables" sheetId="2" r:id="rId5"/>
    <sheet name="Schedule Lookup" sheetId="10" r:id="rId6"/>
    <sheet name="Tabelle1" sheetId="16" r:id="rId7"/>
    <sheet name="License" sheetId="13" r:id="rId8"/>
  </sheets>
  <functionGroups builtInGroupCount="17"/>
  <definedNames>
    <definedName name="ACelec_EER">'Lookup Tables'!$F$4:$G$8</definedName>
    <definedName name="ACfossil_EER">'Lookup Tables'!$D$4:$E$8</definedName>
    <definedName name="AllDays">#REF!</definedName>
    <definedName name="Annual8760">#REF!</definedName>
    <definedName name="ARIExternalStatic">'Lookup Tables'!$D$12:$E$20</definedName>
    <definedName name="AssemblySchedule">'Schedule Lookup'!$C$4:$R$27</definedName>
    <definedName name="BaseSysBldgTypes">'Lookup Tables'!$A$63:$A$64</definedName>
    <definedName name="BaseSystemDatabase">'Baseline Fan Power &amp; EER'!$A$10:$C$16</definedName>
    <definedName name="BOOLEAN">'Lookup Tables'!$A$35:$A$36</definedName>
    <definedName name="BuildingTypeData">'Lookup Tables'!$L$104:$V$142</definedName>
    <definedName name="BuildingTypes">'Lookup Tables'!$L$104:$L$142</definedName>
    <definedName name="DaysOfWeek">'Lookup Tables'!$A$55:$A$61</definedName>
    <definedName name="DHWTypes">'Lookup Tables'!$A$42:$A$52</definedName>
    <definedName name="DOE2ScheduleType">#REF!</definedName>
    <definedName name="_xlnm.Print_Area" localSheetId="2">'Fan Worksheet'!$A$1:$O$28</definedName>
    <definedName name="FirstScheduleCell">#REF!</definedName>
    <definedName name="FixtureUnits">'Lookup Tables'!$X$104:$Y$208</definedName>
    <definedName name="HealthSchedule">'Schedule Lookup'!$C$28:$R$51</definedName>
    <definedName name="HeatingType">'Lookup Tables'!$A$38:$A$39</definedName>
    <definedName name="Holiday">#REF!</definedName>
    <definedName name="HotelSchedule">'Schedule Lookup'!$C$52:$R$75</definedName>
    <definedName name="HoursOfDay">#REF!</definedName>
    <definedName name="HP_Eff">'Lookup Tables'!$H$4:$J$7</definedName>
    <definedName name="kW_btuh">Notes!$E$27</definedName>
    <definedName name="LaboratorySchedule">'Schedule Lookup'!$C$249:$U$272</definedName>
    <definedName name="LightManufacturingSchedule">'Schedule Lookup'!$C$76:$R$99</definedName>
    <definedName name="m3h_cfm">Notes!$E$28</definedName>
    <definedName name="m3s_m3h">Notes!$E$26</definedName>
    <definedName name="MotorHpEff">'Lookup Tables'!$A$2:$B$21</definedName>
    <definedName name="OccupancyType">#REF!</definedName>
    <definedName name="OfficeSchedule">'Schedule Lookup'!$C$100:$R$123</definedName>
    <definedName name="ParkingGarageSchedule">'Schedule Lookup'!$C$124:$R$147</definedName>
    <definedName name="PDALookup">'Lookup Tables'!$V$4:$BN$4</definedName>
    <definedName name="PropSystemDatabase">'Proposed Fan Power &amp; EER'!$A$10:$A$11</definedName>
    <definedName name="RestaurantSchedule">'Schedule Lookup'!$C$148:$R$171</definedName>
    <definedName name="RetailSchedule">'Schedule Lookup'!$C$172:$R$195</definedName>
    <definedName name="SatSun">#REF!</definedName>
    <definedName name="ScheduleColumns">#REF!</definedName>
    <definedName name="ScheduleName">#REF!</definedName>
    <definedName name="ScheduleProgram">#REF!</definedName>
    <definedName name="ScheduleTimeframe">#REF!</definedName>
    <definedName name="ScheduleType">#REF!</definedName>
    <definedName name="ScheduleValues">#REF!,#REF!</definedName>
    <definedName name="SchoolSchedule">'Schedule Lookup'!$C$196:$R$219</definedName>
    <definedName name="Space1">#REF!</definedName>
    <definedName name="Space3">#REF!</definedName>
    <definedName name="Space4">#REF!</definedName>
    <definedName name="SpaceLookup">'Lookup Tables'!$L$2:$R$102</definedName>
    <definedName name="SpaceTypes">'Lookup Tables'!$L$2:$L$102</definedName>
    <definedName name="SystemTypes">'Lookup Tables'!$A$24:$A$33</definedName>
    <definedName name="WarehouseSchedule">'Schedule Lookup'!$C$220:$R$243</definedName>
    <definedName name="Weekday">#REF!</definedName>
    <definedName name="Weekend">#REF!</definedName>
    <definedName name="wg_kPa">Notes!$E$24</definedName>
    <definedName name="wg_Pa">Notes!$E$25</definedName>
    <definedName name="YearStartDay">#REF!</definedName>
    <definedName name="ZoneDatabase">#REF!</definedName>
  </definedNames>
  <calcPr calcId="145621"/>
</workbook>
</file>

<file path=xl/calcChain.xml><?xml version="1.0" encoding="utf-8"?>
<calcChain xmlns="http://schemas.openxmlformats.org/spreadsheetml/2006/main">
  <c r="BM4" i="2" l="1"/>
  <c r="BN4" i="2" s="1"/>
  <c r="BI4" i="2"/>
  <c r="BE4" i="2"/>
  <c r="BA4" i="2"/>
  <c r="AW4" i="2"/>
  <c r="AS4" i="2"/>
  <c r="AO4" i="2"/>
  <c r="AK4" i="2"/>
  <c r="AG4" i="2"/>
  <c r="AC4" i="2"/>
  <c r="Y4" i="2"/>
  <c r="BT14" i="1"/>
  <c r="BS14" i="1"/>
  <c r="BO14" i="1"/>
  <c r="BK14" i="1"/>
  <c r="BG14" i="1"/>
  <c r="BC14" i="1"/>
  <c r="AY14" i="1"/>
  <c r="AU14" i="1"/>
  <c r="AQ14" i="1"/>
  <c r="AM14" i="1"/>
  <c r="AI14" i="1"/>
  <c r="AE14" i="1"/>
  <c r="BS13" i="1"/>
  <c r="BT13" i="1" s="1"/>
  <c r="BO13" i="1"/>
  <c r="BK13" i="1"/>
  <c r="BG13" i="1"/>
  <c r="BC13" i="1"/>
  <c r="AY13" i="1"/>
  <c r="AU13" i="1"/>
  <c r="AQ13" i="1"/>
  <c r="AM13" i="1"/>
  <c r="AI13" i="1"/>
  <c r="AE13" i="1"/>
  <c r="BS11" i="1"/>
  <c r="BT11" i="1" s="1"/>
  <c r="BO11" i="1"/>
  <c r="BK11" i="1"/>
  <c r="BG11" i="1"/>
  <c r="BC11" i="1"/>
  <c r="AY11" i="1"/>
  <c r="AU11" i="1"/>
  <c r="AQ11" i="1"/>
  <c r="AM11" i="1"/>
  <c r="AI11" i="1"/>
  <c r="AE11" i="1"/>
  <c r="BS12" i="1"/>
  <c r="BT12" i="1" s="1"/>
  <c r="BO12" i="1"/>
  <c r="BK12" i="1"/>
  <c r="BG12" i="1"/>
  <c r="BC12" i="1"/>
  <c r="AY12" i="1"/>
  <c r="AU12" i="1"/>
  <c r="AQ12" i="1"/>
  <c r="AM12" i="1"/>
  <c r="AI12" i="1"/>
  <c r="AE12" i="1"/>
  <c r="BS16" i="1"/>
  <c r="BO16" i="1"/>
  <c r="BK16" i="1"/>
  <c r="BT16" i="1" s="1"/>
  <c r="BG16" i="1"/>
  <c r="BC16" i="1"/>
  <c r="AY16" i="1"/>
  <c r="AU16" i="1"/>
  <c r="AQ16" i="1"/>
  <c r="AM16" i="1"/>
  <c r="AI16" i="1"/>
  <c r="AE16" i="1"/>
  <c r="AA16" i="1"/>
  <c r="N16" i="1"/>
  <c r="BT15" i="1"/>
  <c r="BS15" i="1"/>
  <c r="BO15" i="1"/>
  <c r="BK15" i="1"/>
  <c r="BG15" i="1"/>
  <c r="BC15" i="1"/>
  <c r="AY15" i="1"/>
  <c r="AU15" i="1"/>
  <c r="AQ15" i="1"/>
  <c r="AM15" i="1"/>
  <c r="AI15" i="1"/>
  <c r="AE15" i="1"/>
  <c r="AA15" i="1"/>
  <c r="N15" i="1"/>
  <c r="C16" i="14"/>
  <c r="D16" i="14" s="1"/>
  <c r="C17" i="14"/>
  <c r="D17" i="14" s="1"/>
  <c r="O4" i="15"/>
  <c r="L4" i="15"/>
  <c r="O3" i="15"/>
  <c r="L3" i="15"/>
  <c r="I12" i="14"/>
  <c r="N12" i="14"/>
  <c r="I13" i="14"/>
  <c r="N13" i="14" s="1"/>
  <c r="I14" i="14"/>
  <c r="N14" i="14"/>
  <c r="I15" i="14"/>
  <c r="N15" i="14"/>
  <c r="E24" i="15"/>
  <c r="E25" i="15"/>
  <c r="E26" i="15"/>
  <c r="C14" i="14" s="1"/>
  <c r="D14" i="14" s="1"/>
  <c r="R14" i="14" s="1"/>
  <c r="M12" i="14"/>
  <c r="G26" i="14"/>
  <c r="G27" i="14"/>
  <c r="G28" i="14"/>
  <c r="G25" i="14"/>
  <c r="D26" i="14"/>
  <c r="D27" i="14"/>
  <c r="D28" i="14"/>
  <c r="D25" i="14"/>
  <c r="M15" i="14"/>
  <c r="M14" i="14"/>
  <c r="E26" i="14"/>
  <c r="E27" i="14"/>
  <c r="E28" i="14"/>
  <c r="E25" i="14"/>
  <c r="J15" i="14"/>
  <c r="O15" i="14"/>
  <c r="J14" i="14"/>
  <c r="O14" i="14"/>
  <c r="M13" i="14"/>
  <c r="J13" i="14"/>
  <c r="O13" i="14"/>
  <c r="J12" i="14"/>
  <c r="O12" i="14" s="1"/>
  <c r="N11" i="1"/>
  <c r="AA14" i="1"/>
  <c r="K14" i="1" s="1"/>
  <c r="N14" i="1"/>
  <c r="AA13" i="1"/>
  <c r="K13" i="1" s="1"/>
  <c r="N13" i="1"/>
  <c r="AA12" i="1"/>
  <c r="K12" i="1" s="1"/>
  <c r="N12" i="1"/>
  <c r="AE11" i="3"/>
  <c r="AC11" i="3"/>
  <c r="R11" i="3"/>
  <c r="T11" i="3"/>
  <c r="I11" i="3"/>
  <c r="E11" i="3"/>
  <c r="D11" i="3"/>
  <c r="C11" i="3"/>
  <c r="J4" i="2"/>
  <c r="P111" i="2"/>
  <c r="Q111" i="2"/>
  <c r="P112" i="2"/>
  <c r="Q112" i="2"/>
  <c r="P113" i="2"/>
  <c r="Q113" i="2"/>
  <c r="P120" i="2"/>
  <c r="Q120" i="2"/>
  <c r="P121" i="2"/>
  <c r="Q121" i="2"/>
  <c r="P122" i="2"/>
  <c r="Q122" i="2"/>
  <c r="N126" i="2"/>
  <c r="P126" i="2"/>
  <c r="Q126" i="2"/>
  <c r="P130" i="2"/>
  <c r="Q130" i="2"/>
  <c r="P131" i="2"/>
  <c r="Q131" i="2"/>
  <c r="P132" i="2"/>
  <c r="Q132" i="2"/>
  <c r="P137" i="2"/>
  <c r="Q137" i="2"/>
  <c r="N10" i="1"/>
  <c r="AA10" i="1"/>
  <c r="T10" i="1" s="1"/>
  <c r="AE10" i="1"/>
  <c r="AI10" i="1"/>
  <c r="AM10" i="1"/>
  <c r="BT10" i="1"/>
  <c r="AQ10" i="1"/>
  <c r="AU10" i="1"/>
  <c r="AY10" i="1"/>
  <c r="BC10" i="1"/>
  <c r="BG10" i="1"/>
  <c r="BK10" i="1"/>
  <c r="BO10" i="1"/>
  <c r="BS10" i="1"/>
  <c r="AA11" i="1"/>
  <c r="K11" i="1" s="1"/>
  <c r="C10" i="3"/>
  <c r="D10" i="3"/>
  <c r="E10" i="3"/>
  <c r="I10" i="3"/>
  <c r="R10" i="3"/>
  <c r="S10" i="3" s="1"/>
  <c r="U10" i="3"/>
  <c r="AA10" i="3"/>
  <c r="AC10" i="3"/>
  <c r="AE10" i="3"/>
  <c r="S11" i="3"/>
  <c r="U11" i="3"/>
  <c r="K10" i="1"/>
  <c r="C13" i="14"/>
  <c r="D13" i="14" s="1"/>
  <c r="R13" i="14" s="1"/>
  <c r="C12" i="14"/>
  <c r="D12" i="14" s="1"/>
  <c r="R12" i="14" s="1"/>
  <c r="C15" i="14"/>
  <c r="D15" i="14" s="1"/>
  <c r="X16" i="1"/>
  <c r="J16" i="1"/>
  <c r="S16" i="1"/>
  <c r="J15" i="1"/>
  <c r="S15" i="1"/>
  <c r="X15" i="1"/>
  <c r="X10" i="1"/>
  <c r="J12" i="1"/>
  <c r="S12" i="1"/>
  <c r="X14" i="1"/>
  <c r="J13" i="1"/>
  <c r="J10" i="1"/>
  <c r="S11" i="1"/>
  <c r="S14" i="1"/>
  <c r="F10" i="3"/>
  <c r="X12" i="1"/>
  <c r="J14" i="1"/>
  <c r="S10" i="1"/>
  <c r="X13" i="1"/>
  <c r="F11" i="3"/>
  <c r="X11" i="1"/>
  <c r="J11" i="1"/>
  <c r="S13" i="1"/>
  <c r="T14" i="1" l="1"/>
  <c r="U14" i="1" s="1"/>
  <c r="T13" i="1"/>
  <c r="U13" i="1" s="1"/>
  <c r="V13" i="1" s="1"/>
  <c r="Z16" i="1"/>
  <c r="H16" i="1" s="1"/>
  <c r="I16" i="1" s="1"/>
  <c r="K16" i="1"/>
  <c r="T16" i="1"/>
  <c r="U16" i="1" s="1"/>
  <c r="Z15" i="1"/>
  <c r="H15" i="1" s="1"/>
  <c r="I15" i="1" s="1"/>
  <c r="K15" i="1"/>
  <c r="T15" i="1"/>
  <c r="U15" i="1" s="1"/>
  <c r="R15" i="14"/>
  <c r="Z11" i="1"/>
  <c r="H11" i="1" s="1"/>
  <c r="I11" i="1" s="1"/>
  <c r="G11" i="3"/>
  <c r="Z13" i="1"/>
  <c r="H13" i="1" s="1"/>
  <c r="I13" i="1" s="1"/>
  <c r="Z12" i="1"/>
  <c r="H12" i="1" s="1"/>
  <c r="I12" i="1" s="1"/>
  <c r="G10" i="3"/>
  <c r="Z14" i="1"/>
  <c r="H14" i="1" s="1"/>
  <c r="I14" i="1" s="1"/>
  <c r="Z10" i="1"/>
  <c r="H10" i="1" s="1"/>
  <c r="I10" i="1" s="1"/>
  <c r="T11" i="1"/>
  <c r="U11" i="1" s="1"/>
  <c r="T10" i="3"/>
  <c r="U10" i="1"/>
  <c r="T12" i="1"/>
  <c r="U12" i="1" s="1"/>
  <c r="V16" i="1" l="1"/>
  <c r="W16" i="1" s="1"/>
  <c r="V15" i="1"/>
  <c r="W15" i="1" s="1"/>
  <c r="V12" i="1"/>
  <c r="W12" i="1" s="1"/>
  <c r="G12" i="1" s="1"/>
  <c r="V11" i="1"/>
  <c r="W11" i="1" s="1"/>
  <c r="G11" i="1" s="1"/>
  <c r="V10" i="1"/>
  <c r="W10" i="1" s="1"/>
  <c r="W13" i="1"/>
  <c r="G13" i="1" s="1"/>
  <c r="V14" i="1"/>
  <c r="W14" i="1" s="1"/>
  <c r="G14" i="1" s="1"/>
  <c r="G16" i="1" l="1"/>
  <c r="F16" i="1"/>
  <c r="E16" i="1"/>
  <c r="G15" i="1"/>
  <c r="F15" i="1"/>
  <c r="E15" i="1"/>
  <c r="E12" i="1"/>
  <c r="F12" i="1"/>
  <c r="E13" i="1"/>
  <c r="F13" i="1"/>
  <c r="F11" i="1"/>
  <c r="E11" i="1"/>
  <c r="E10" i="1"/>
  <c r="F10" i="1"/>
  <c r="G10" i="1"/>
  <c r="E14" i="1"/>
  <c r="F14" i="1"/>
</calcChain>
</file>

<file path=xl/sharedStrings.xml><?xml version="1.0" encoding="utf-8"?>
<sst xmlns="http://schemas.openxmlformats.org/spreadsheetml/2006/main" count="2031" uniqueCount="408">
  <si>
    <t>Motor Eff.</t>
  </si>
  <si>
    <t>MERV 9-12</t>
  </si>
  <si>
    <t>Motor Horsepower</t>
  </si>
  <si>
    <t xml:space="preserve">Enclosed Motor 1800 RPM Efficiency % </t>
  </si>
  <si>
    <t>MERV 13-15</t>
  </si>
  <si>
    <t>Return/Exhaust Airflow Control</t>
  </si>
  <si>
    <t>System Types</t>
  </si>
  <si>
    <t>Allowed Fan kW</t>
  </si>
  <si>
    <t>Base Allowed Fan BHP</t>
  </si>
  <si>
    <t>Add'l Allowed Fan BHP</t>
  </si>
  <si>
    <t>Total Allowed Fan BHP</t>
  </si>
  <si>
    <t>CFM</t>
  </si>
  <si>
    <t>PD        (in w.c.)</t>
  </si>
  <si>
    <t>Allowed BHP</t>
  </si>
  <si>
    <t>TRUE/ FALSE</t>
  </si>
  <si>
    <t>Fully Ducted Return/Exhaust</t>
  </si>
  <si>
    <t>System Name</t>
  </si>
  <si>
    <t>Supply CFM</t>
  </si>
  <si>
    <t>Exhaust filters, scrubbers, other</t>
  </si>
  <si>
    <t>MERV 16+ or electronic</t>
  </si>
  <si>
    <t>Carbon/gas-phase cleaner</t>
  </si>
  <si>
    <t>Heat Recovery Device</t>
  </si>
  <si>
    <t>Evap Cooler in series w/ clg coil</t>
  </si>
  <si>
    <t>Sound Attenuation</t>
  </si>
  <si>
    <t>Fume Hood Exhaust Exception</t>
  </si>
  <si>
    <t>Return Fan kW</t>
  </si>
  <si>
    <t>Exhaust Fan kW</t>
  </si>
  <si>
    <t>Total Fan kW</t>
  </si>
  <si>
    <t>Return CFM</t>
  </si>
  <si>
    <t>Exhaust CFM</t>
  </si>
  <si>
    <t>Supply Fan Ratio</t>
  </si>
  <si>
    <t>Return Fan Ratio</t>
  </si>
  <si>
    <t>Exhaust Fan Ratio</t>
  </si>
  <si>
    <t>5-Pkg VAV w/ reheat</t>
  </si>
  <si>
    <t>6-Pkg VAV w/ PFP Boxes</t>
  </si>
  <si>
    <t>7-VAV w/ reheat</t>
  </si>
  <si>
    <t>8-VAV w/ PFP Boxes</t>
  </si>
  <si>
    <t>Supply kW/CFM</t>
  </si>
  <si>
    <t>Return kW/CFM</t>
  </si>
  <si>
    <t>Exhaust kW/CFM</t>
  </si>
  <si>
    <t>3-PSZ-AC</t>
  </si>
  <si>
    <t>4-PSZ-HP</t>
  </si>
  <si>
    <t>Main Supply Fan kW</t>
  </si>
  <si>
    <t>Other Supply Fan kW</t>
  </si>
  <si>
    <t>System Type #</t>
  </si>
  <si>
    <t>EER</t>
  </si>
  <si>
    <t>Example - Do Not Delete</t>
  </si>
  <si>
    <t>Load (Btu/h)</t>
  </si>
  <si>
    <t>AC/Fossil EER</t>
  </si>
  <si>
    <t>AC/Electric EER</t>
  </si>
  <si>
    <t>Electric or None</t>
  </si>
  <si>
    <t>Fossil Fuel</t>
  </si>
  <si>
    <t>Total EER</t>
  </si>
  <si>
    <t>1-PTAC New Construction</t>
  </si>
  <si>
    <t>1-PTAC Retrofit</t>
  </si>
  <si>
    <t>2-PTHP New Construction</t>
  </si>
  <si>
    <t>2-PTHP Retrofit</t>
  </si>
  <si>
    <t>EER @ ARI Conditions</t>
  </si>
  <si>
    <t>Cooling COP</t>
  </si>
  <si>
    <t>Inverse Cooling  COP (EIR)</t>
  </si>
  <si>
    <t>Heating COP</t>
  </si>
  <si>
    <t>Inverse Heating  COP (EIR)</t>
  </si>
  <si>
    <t>Inverse Cooling COP (EIR)</t>
  </si>
  <si>
    <t>Inverse Heating COP (EIR)</t>
  </si>
  <si>
    <t>Heat Pump Efficiency</t>
  </si>
  <si>
    <t>COP</t>
  </si>
  <si>
    <t>Notes</t>
  </si>
  <si>
    <t>This is an example system.</t>
  </si>
  <si>
    <t>N/A</t>
  </si>
  <si>
    <t>Atrium (Floors 1-3)</t>
  </si>
  <si>
    <t>Atrium (Floors 4+)</t>
  </si>
  <si>
    <t>Auditorium, Exercise Center</t>
  </si>
  <si>
    <t>Auditorium, General</t>
  </si>
  <si>
    <t>Auditorium, Gymnasium</t>
  </si>
  <si>
    <t>Auditorium, Indoor Sports Arena</t>
  </si>
  <si>
    <t>Auditorium, Penitentairy</t>
  </si>
  <si>
    <t>Auditorium, Religious Worship</t>
  </si>
  <si>
    <t>Automotive Repair</t>
  </si>
  <si>
    <t>Bank</t>
  </si>
  <si>
    <t>Civic, Confinement Cells</t>
  </si>
  <si>
    <t>Civic, Courtroom</t>
  </si>
  <si>
    <t>Civic, Judge's Chambers</t>
  </si>
  <si>
    <t>Classroom/Lecture/Training, General</t>
  </si>
  <si>
    <t>Classroom/Lecture/Training, Penitentairy</t>
  </si>
  <si>
    <t xml:space="preserve">Conference/Meeting </t>
  </si>
  <si>
    <t>Corridor/Transition,  General</t>
  </si>
  <si>
    <t>Corridors/Tranistions, Hospital</t>
  </si>
  <si>
    <t>Corridors/Tranistions, Manufacturing</t>
  </si>
  <si>
    <t>Dining, Family Dining/Restaurant</t>
  </si>
  <si>
    <t>Dining, General</t>
  </si>
  <si>
    <t>Dining, Hotel</t>
  </si>
  <si>
    <t>Dining, Motel</t>
  </si>
  <si>
    <t>Dormitory/Living Quarters</t>
  </si>
  <si>
    <t>Dressing/Locker Rooms</t>
  </si>
  <si>
    <t>Electrical/Mechanical Room</t>
  </si>
  <si>
    <t>Fire Station, Engine Room</t>
  </si>
  <si>
    <t>Fire Station, Sleeping Quarters</t>
  </si>
  <si>
    <t>Food Preparation/ Industrial Kitchen</t>
  </si>
  <si>
    <t>Gym, Exercise Area</t>
  </si>
  <si>
    <t>Gym, Playing Area</t>
  </si>
  <si>
    <t>Home Nursing/Senior Housing</t>
  </si>
  <si>
    <t>Hotel/ Motel Guest Rooms</t>
  </si>
  <si>
    <t>Laboratory</t>
  </si>
  <si>
    <t>Laundry Facility</t>
  </si>
  <si>
    <t>Library, Cataloging</t>
  </si>
  <si>
    <t>Library, Reading Area</t>
  </si>
  <si>
    <t>Library, Stacks</t>
  </si>
  <si>
    <t>Lobby, General</t>
  </si>
  <si>
    <t>Lobby, Hotel</t>
  </si>
  <si>
    <t>Lobby, Motion Picture Theatre</t>
  </si>
  <si>
    <t>Lobby, Performing Arts Theatre</t>
  </si>
  <si>
    <t>Lounge/Recreation</t>
  </si>
  <si>
    <t>Manufacturing, High Bay</t>
  </si>
  <si>
    <t>Manufacturing, Low Bay</t>
  </si>
  <si>
    <t>Manufacturing, Precision</t>
  </si>
  <si>
    <t>Mechanical Control Room</t>
  </si>
  <si>
    <t>Medical, Emergency Room</t>
  </si>
  <si>
    <t>Medical, Exam/Treatment Room</t>
  </si>
  <si>
    <t>Medical, Nursery</t>
  </si>
  <si>
    <t>Medical, Nurse's Station</t>
  </si>
  <si>
    <t>Medical, Operating Room</t>
  </si>
  <si>
    <t>Medical, Patient Room</t>
  </si>
  <si>
    <t>Medical, Pharmacy</t>
  </si>
  <si>
    <t>Medical, Radiology/Laboratory</t>
  </si>
  <si>
    <t>Medical, Recovery Room</t>
  </si>
  <si>
    <t>Medical, Supply Room</t>
  </si>
  <si>
    <t>Museum, Exhibition Area</t>
  </si>
  <si>
    <t>Musuem, Restoration Area</t>
  </si>
  <si>
    <t>Office, Enclosed</t>
  </si>
  <si>
    <t>Office, Open</t>
  </si>
  <si>
    <t>Parking Garage, Attended</t>
  </si>
  <si>
    <t>Parking Garage, Non-Attended</t>
  </si>
  <si>
    <t>Religious,  Worship</t>
  </si>
  <si>
    <t>Restrooms</t>
  </si>
  <si>
    <t>Retail, Grocery Store</t>
  </si>
  <si>
    <t>Retail, Mall Concourse</t>
  </si>
  <si>
    <t>Retail, Sales</t>
  </si>
  <si>
    <t>Sports Arena, Court Sports</t>
  </si>
  <si>
    <t>Sports Arena, Indoor Sports Fields</t>
  </si>
  <si>
    <t>Sports Arena, Ring Sports</t>
  </si>
  <si>
    <t>Stairs, Active</t>
  </si>
  <si>
    <t>Storage, Active, Musuem</t>
  </si>
  <si>
    <t>Storage, Inactive, General</t>
  </si>
  <si>
    <t>Storage, Inactive, Musuem</t>
  </si>
  <si>
    <t>Theatre, Performing Arts</t>
  </si>
  <si>
    <t>Transporation, Rail Station/ Bus Terminal</t>
  </si>
  <si>
    <t>Transportation, Baggage Area</t>
  </si>
  <si>
    <t>Transportation, Ticket Counter</t>
  </si>
  <si>
    <t xml:space="preserve">Warehouse, Fine Material </t>
  </si>
  <si>
    <t>Warehouse, Refrigerated</t>
  </si>
  <si>
    <t>Workshop, General</t>
  </si>
  <si>
    <t>Recept. PD (W/sf)</t>
  </si>
  <si>
    <t>Sens. Heat Gain (Btu/h)</t>
  </si>
  <si>
    <t>Latent Heat Gain (Btu/h)</t>
  </si>
  <si>
    <t>Lighting PD (W/sf)</t>
  </si>
  <si>
    <t>Occ. Density (sf/person)</t>
  </si>
  <si>
    <t>Classroom/Lecture, K-12</t>
  </si>
  <si>
    <t>-None-</t>
  </si>
  <si>
    <t>Occupancy Sensor</t>
  </si>
  <si>
    <t>Dining, Bar/Cocktail Lounge</t>
  </si>
  <si>
    <t>Storage, Active, General</t>
  </si>
  <si>
    <t>Storage, Active, Hospital</t>
  </si>
  <si>
    <t>Convention Center, Audience Seating</t>
  </si>
  <si>
    <t>Convention Center, Exhibit Space</t>
  </si>
  <si>
    <t>Transporation, Airport Concourse</t>
  </si>
  <si>
    <t>Religious,  Fellowship Hall</t>
  </si>
  <si>
    <t>Post Office, Sorting Area</t>
  </si>
  <si>
    <t>Manufacturing, Equipment Room</t>
  </si>
  <si>
    <t>Medical, Waiting Area</t>
  </si>
  <si>
    <t>Warehouse, Medium/Bulky Material</t>
  </si>
  <si>
    <t>Medical, Physical Therapy</t>
  </si>
  <si>
    <t>Medical, Lounge/Recreation</t>
  </si>
  <si>
    <t>Theatre, Movie</t>
  </si>
  <si>
    <t>Notes...</t>
  </si>
  <si>
    <t>Total Cooling Capacity (Btu/h)</t>
  </si>
  <si>
    <t>Percent of Maximum Load</t>
  </si>
  <si>
    <t>Hour of Day (Time)</t>
  </si>
  <si>
    <t>1 (12-1 am)</t>
  </si>
  <si>
    <t>Off</t>
  </si>
  <si>
    <t>2 (1-2 am)</t>
  </si>
  <si>
    <t>3 (2-3 am)</t>
  </si>
  <si>
    <t>4 (3-4 am)</t>
  </si>
  <si>
    <t>5 (4-5 am)</t>
  </si>
  <si>
    <t>6 (5-6 am)</t>
  </si>
  <si>
    <t>On</t>
  </si>
  <si>
    <t>7 (6-7 am)</t>
  </si>
  <si>
    <t>8 (7-8 am)</t>
  </si>
  <si>
    <t>9 (8-9 am)</t>
  </si>
  <si>
    <t>10 (9-10 am)</t>
  </si>
  <si>
    <t>11 (10-11 am)</t>
  </si>
  <si>
    <t>12 (11-12 pm)</t>
  </si>
  <si>
    <t>13 (12-1 pm)</t>
  </si>
  <si>
    <t>14 (1-2 pm)</t>
  </si>
  <si>
    <t>15 (2-3 pm)</t>
  </si>
  <si>
    <t>16 (3-4 pm)</t>
  </si>
  <si>
    <t>17 (4-5 pm)</t>
  </si>
  <si>
    <t>18 (5-6 pm)</t>
  </si>
  <si>
    <t>19 (6-7 pm)</t>
  </si>
  <si>
    <t>20 (7-8 pm)</t>
  </si>
  <si>
    <t>21 (8-9 pm)</t>
  </si>
  <si>
    <t>22 (9-10 pm)</t>
  </si>
  <si>
    <t>23 (10-11 pm)</t>
  </si>
  <si>
    <t>24 (11-12 am)</t>
  </si>
  <si>
    <t>Occupancy Schedule</t>
  </si>
  <si>
    <t>Weekday</t>
  </si>
  <si>
    <t>Saturday</t>
  </si>
  <si>
    <t>Sunday</t>
  </si>
  <si>
    <t>HVAC Schedule</t>
  </si>
  <si>
    <t>On/Off</t>
  </si>
  <si>
    <t>Lighting Schedule</t>
  </si>
  <si>
    <t>Hot Water Schedule</t>
  </si>
  <si>
    <t>Elevator Schedule</t>
  </si>
  <si>
    <t>Assembly Occupancy</t>
  </si>
  <si>
    <t>Health Occupancy</t>
  </si>
  <si>
    <t>Hotel/Motel Occupancy</t>
  </si>
  <si>
    <t>Light Manufacturing Occupancy</t>
  </si>
  <si>
    <t>Office Occupancy</t>
  </si>
  <si>
    <t>Parking Garage Occupancy</t>
  </si>
  <si>
    <t>Restaurant Occupancy</t>
  </si>
  <si>
    <t>Retail Occupancy</t>
  </si>
  <si>
    <t>School Occupancy</t>
  </si>
  <si>
    <t>Warehouse Occupancy</t>
  </si>
  <si>
    <t>Laboratory Occupancy</t>
  </si>
  <si>
    <t>Fume Hood Schedule</t>
  </si>
  <si>
    <t>Eqpt Schedule - Typical Use</t>
  </si>
  <si>
    <t>Eqpt Schedule - High Use</t>
  </si>
  <si>
    <t>Schedule Type</t>
  </si>
  <si>
    <t>None</t>
  </si>
  <si>
    <t>Auto Repair</t>
  </si>
  <si>
    <t>College/ University</t>
  </si>
  <si>
    <t>Convention Center</t>
  </si>
  <si>
    <t>Court House</t>
  </si>
  <si>
    <t>Dining, Bar/Coctail Lounge</t>
  </si>
  <si>
    <t>Dining, Cafeteria/Fast Food</t>
  </si>
  <si>
    <t>Dining, Family</t>
  </si>
  <si>
    <t>Exercise Center</t>
  </si>
  <si>
    <t>Gymnasium</t>
  </si>
  <si>
    <t>Health Care Clinic</t>
  </si>
  <si>
    <t>Hospital</t>
  </si>
  <si>
    <t>Library</t>
  </si>
  <si>
    <t>Manufacturing Facility</t>
  </si>
  <si>
    <t>Motion Picture Theatre</t>
  </si>
  <si>
    <t>Multi-Family</t>
  </si>
  <si>
    <t>Museum- General</t>
  </si>
  <si>
    <t>Office</t>
  </si>
  <si>
    <t>Parking Garage</t>
  </si>
  <si>
    <t>Performing Arts Theatre</t>
  </si>
  <si>
    <t>Police/Fire Station</t>
  </si>
  <si>
    <t>Post Office</t>
  </si>
  <si>
    <t>Religious Building</t>
  </si>
  <si>
    <t xml:space="preserve">Retail </t>
  </si>
  <si>
    <t>Sports Arena</t>
  </si>
  <si>
    <t>Town Hall</t>
  </si>
  <si>
    <t>Transportation</t>
  </si>
  <si>
    <t>Warehouse</t>
  </si>
  <si>
    <t>Workshop</t>
  </si>
  <si>
    <t>-Whole Building Types-</t>
  </si>
  <si>
    <t>Dormitory (20 - 100 rooms)</t>
  </si>
  <si>
    <t>Dormitory (100+ rooms)</t>
  </si>
  <si>
    <t>Dormitory (1- 19 rooms)</t>
  </si>
  <si>
    <t>Hotel/Motel (100+ rooms)</t>
  </si>
  <si>
    <t>Hotel/Motel (20 - 100 rooms)</t>
  </si>
  <si>
    <t>Hotel/Motel (1- 19 rooms)</t>
  </si>
  <si>
    <t>Penitentiary (1- 19 cells)</t>
  </si>
  <si>
    <t>Penitentiary (20 - 100 cells)</t>
  </si>
  <si>
    <t>Penitentiary (100+ cells)</t>
  </si>
  <si>
    <t>School</t>
  </si>
  <si>
    <t>Assembly</t>
  </si>
  <si>
    <t>Restaurant</t>
  </si>
  <si>
    <t>Health</t>
  </si>
  <si>
    <t>Hotel</t>
  </si>
  <si>
    <t>Retail</t>
  </si>
  <si>
    <t>LightManufacturing</t>
  </si>
  <si>
    <t>Dining, Penitentiary Cafeteria</t>
  </si>
  <si>
    <t>ParkingGarage</t>
  </si>
  <si>
    <t>-Space Type (ASHRAE 90.1-2007)-</t>
  </si>
  <si>
    <t>Domestic Hot Water Types</t>
  </si>
  <si>
    <t>Electric Resistance</t>
  </si>
  <si>
    <t>Electric Heat Pump</t>
  </si>
  <si>
    <t>Gas Storage</t>
  </si>
  <si>
    <t>Gas Instantaneous</t>
  </si>
  <si>
    <t>Oil Storage</t>
  </si>
  <si>
    <t>Oil Instantaneous</t>
  </si>
  <si>
    <t>Hot Water Boiler - Gas</t>
  </si>
  <si>
    <t>Hot Water Boiler - Oil</t>
  </si>
  <si>
    <t>Solar Thermal - Gas Backup</t>
  </si>
  <si>
    <t>Solar Thermal - Electric Backup</t>
  </si>
  <si>
    <t>Solar Thermal - Oil Backup</t>
  </si>
  <si>
    <t>DHW Gallons/ day/occupant</t>
  </si>
  <si>
    <t>High School</t>
  </si>
  <si>
    <t>Elementary/Middle School</t>
  </si>
  <si>
    <t>NO</t>
  </si>
  <si>
    <t>System Type</t>
  </si>
  <si>
    <t>Friday</t>
  </si>
  <si>
    <t>Thursday</t>
  </si>
  <si>
    <t>Wednesday</t>
  </si>
  <si>
    <t>Tuesday</t>
  </si>
  <si>
    <t>Monday</t>
  </si>
  <si>
    <t>Days of Week</t>
  </si>
  <si>
    <t>Directions:  The purpose of this spreadsheet is to calculate the fan power and compressor efficiency of ASHRAE 90.1-2007 Appendix G baseline systems.  Click 'Add System' to begin.  Enter information about your baseline system and save.  Use the Delete and Edit buttons to manipulate entered data or edit directly in the cells.</t>
  </si>
  <si>
    <t>Directions:  The purpose of this spreadsheet is to calculate the fan power and compressor efficiency of proposed systems.  Click 'Add System' to begin.  Enter information about your proposed system and save.  Use the Delete and Edit buttons to manipulate entered data or edit directly in the cells.</t>
  </si>
  <si>
    <t>Heating Type</t>
  </si>
  <si>
    <t>30 + 10*BR</t>
  </si>
  <si>
    <t>N/A - Enter Custom Values</t>
  </si>
  <si>
    <t>Baseline EER/COP for packaged equipment.  See ASHRAE 90.1-2007, Tables 6.8.1 A&amp;B</t>
  </si>
  <si>
    <t>Cells highlighted in light blue are calculated energy model inputs</t>
  </si>
  <si>
    <t>Cells highlighted in dark blue are user required inputs</t>
  </si>
  <si>
    <t>Residential</t>
  </si>
  <si>
    <t>Non-Residential</t>
  </si>
  <si>
    <t>Fixture Units</t>
  </si>
  <si>
    <t>GPM</t>
  </si>
  <si>
    <t>DHW Fixture Units per unit</t>
  </si>
  <si>
    <t>Load</t>
  </si>
  <si>
    <t>Static</t>
  </si>
  <si>
    <t>Fan Efficiency</t>
  </si>
  <si>
    <t>CFM @ ARI Conditions</t>
  </si>
  <si>
    <t>Internal Static @ ARI CFM</t>
  </si>
  <si>
    <t>ARI Minimum External Static</t>
  </si>
  <si>
    <t>Internal Static</t>
  </si>
  <si>
    <t>DHW Recovery    Capacity (GPH/person)</t>
  </si>
  <si>
    <t>DHW Storage Capacity Factor (gal/person)</t>
  </si>
  <si>
    <t>Fan Heat Gain at ARI (Btu/h)</t>
  </si>
  <si>
    <t>COP Method</t>
  </si>
  <si>
    <t>Rated Cooling Capacity (Btu/h)</t>
  </si>
  <si>
    <t>ARI Min ESP</t>
  </si>
  <si>
    <t>GROSS</t>
  </si>
  <si>
    <t>Gross Cooling Capacity (Btu/h)</t>
  </si>
  <si>
    <t>System 1</t>
  </si>
  <si>
    <t>notes</t>
  </si>
  <si>
    <t>Fan Heat Method</t>
  </si>
  <si>
    <t>ARI Fan BHP</t>
  </si>
  <si>
    <t>RATED+FAN</t>
  </si>
  <si>
    <t>DIRECT</t>
  </si>
  <si>
    <t>in. wg</t>
  </si>
  <si>
    <t>Enthalpy recovery wheel</t>
  </si>
  <si>
    <t>Fan pressure credits</t>
  </si>
  <si>
    <t>Pa</t>
  </si>
  <si>
    <t>in wg</t>
  </si>
  <si>
    <t>kPa</t>
  </si>
  <si>
    <t>kW</t>
  </si>
  <si>
    <t>m3/s</t>
  </si>
  <si>
    <t>m3/hr</t>
  </si>
  <si>
    <t>Btu/hr</t>
  </si>
  <si>
    <t>cfm</t>
  </si>
  <si>
    <t>Fully ducted</t>
  </si>
  <si>
    <t>BHP</t>
  </si>
  <si>
    <t>Supply power</t>
  </si>
  <si>
    <t>Exhaust power</t>
  </si>
  <si>
    <t>Motor Efficiency</t>
  </si>
  <si>
    <t>%</t>
  </si>
  <si>
    <t>Total Efficiency</t>
  </si>
  <si>
    <r>
      <t>μ</t>
    </r>
    <r>
      <rPr>
        <i/>
        <vertAlign val="subscript"/>
        <sz val="11"/>
        <color indexed="8"/>
        <rFont val="Calibri"/>
        <family val="2"/>
      </rPr>
      <t>f</t>
    </r>
    <r>
      <rPr>
        <i/>
        <sz val="11"/>
        <color indexed="8"/>
        <rFont val="Calibri"/>
        <family val="2"/>
      </rPr>
      <t xml:space="preserve"> = dp q / P         (2)</t>
    </r>
  </si>
  <si>
    <t>where</t>
  </si>
  <si>
    <r>
      <t>μ</t>
    </r>
    <r>
      <rPr>
        <i/>
        <vertAlign val="subscript"/>
        <sz val="11"/>
        <color indexed="8"/>
        <rFont val="Calibri"/>
        <family val="2"/>
      </rPr>
      <t>f</t>
    </r>
    <r>
      <rPr>
        <i/>
        <sz val="11"/>
        <color indexed="8"/>
        <rFont val="Calibri"/>
        <family val="2"/>
      </rPr>
      <t xml:space="preserve"> = fan efficiency (values between 0 - 1)</t>
    </r>
  </si>
  <si>
    <t>dp = total pressure (Pa)</t>
  </si>
  <si>
    <r>
      <t>q = air volume delivered by the fan (m</t>
    </r>
    <r>
      <rPr>
        <i/>
        <vertAlign val="superscript"/>
        <sz val="11"/>
        <color indexed="8"/>
        <rFont val="Calibri"/>
        <family val="2"/>
      </rPr>
      <t>3</t>
    </r>
    <r>
      <rPr>
        <i/>
        <sz val="11"/>
        <color indexed="8"/>
        <rFont val="Calibri"/>
        <family val="2"/>
      </rPr>
      <t>/s)</t>
    </r>
  </si>
  <si>
    <t>P = power used by the fan (W, Nm/s)</t>
  </si>
  <si>
    <r>
      <t>P = dp q / μ</t>
    </r>
    <r>
      <rPr>
        <i/>
        <vertAlign val="subscript"/>
        <sz val="11"/>
        <color indexed="8"/>
        <rFont val="Calibri"/>
        <family val="2"/>
      </rPr>
      <t>f</t>
    </r>
  </si>
  <si>
    <t>dp = P uf  / q</t>
  </si>
  <si>
    <t>Location</t>
  </si>
  <si>
    <t>Total Allowed system power</t>
  </si>
  <si>
    <t>-</t>
  </si>
  <si>
    <t>Pressure credits:</t>
  </si>
  <si>
    <t>0.5 in w.g. from fully ducted system</t>
  </si>
  <si>
    <t>0.54 in w.g. from enthalpy recovery wheel</t>
  </si>
  <si>
    <t>Total Allowed system power*</t>
  </si>
  <si>
    <t>Baseline fan power sizing worksheet</t>
  </si>
  <si>
    <t>Constants</t>
  </si>
  <si>
    <t>bhp</t>
  </si>
  <si>
    <t>Supply fan pressure</t>
  </si>
  <si>
    <t>Return fan pressure</t>
  </si>
  <si>
    <t>3NP</t>
  </si>
  <si>
    <t>4NP</t>
  </si>
  <si>
    <t>5NP</t>
  </si>
  <si>
    <t>6NP</t>
  </si>
  <si>
    <t>Cooling capacity</t>
  </si>
  <si>
    <t>W</t>
  </si>
  <si>
    <t>6637 cfm 264898 Btu/hr</t>
  </si>
  <si>
    <t>8291 cfm 331206 Btu/hr</t>
  </si>
  <si>
    <t>8503 cfm 339447 Btu/hr</t>
  </si>
  <si>
    <t>10263 cfm 398088 Btu/hr</t>
  </si>
  <si>
    <t>Heating capacity</t>
  </si>
  <si>
    <t>BHP Credit</t>
  </si>
  <si>
    <t>Supply / Return ratio</t>
  </si>
  <si>
    <t>AHU name</t>
  </si>
  <si>
    <t>Autosized Supply fan flow</t>
  </si>
  <si>
    <t xml:space="preserve">Description: </t>
  </si>
  <si>
    <t xml:space="preserve">Power is indirectly adjusted via pressure and efficiency in EnergyPlus. </t>
  </si>
  <si>
    <t xml:space="preserve">The Energy Model Input Translator tool from the Rocky Mountain Institute is used to calculate each AHU after final autosize runs of baseline. </t>
  </si>
  <si>
    <t xml:space="preserve">Based on allowed power, efficiencies, and the flow rate, the pressure is back calculated and finally simulated. </t>
  </si>
  <si>
    <t>Extra information per AHU</t>
  </si>
  <si>
    <t>1NP</t>
  </si>
  <si>
    <t>2NP</t>
  </si>
  <si>
    <t>High Limit Shutoff Control</t>
  </si>
  <si>
    <t>Minimum Outdoor Air [m3/s]</t>
  </si>
  <si>
    <t>Maximum Outdoor Air [m3/s]</t>
  </si>
  <si>
    <t>Return Air Temp Limit</t>
  </si>
  <si>
    <t>Return Air Enthalpy Limit</t>
  </si>
  <si>
    <t>Outdoor Air Temperature Limit [C]</t>
  </si>
  <si>
    <t>Outdoor Air Enthalpy Limit [C]</t>
  </si>
  <si>
    <t>AHU 1NP AHU OUTDOOR AIR CONTROLLER</t>
  </si>
  <si>
    <t>FixedDryBulb</t>
  </si>
  <si>
    <t>2.00</t>
  </si>
  <si>
    <t>AHU 2NP AHU OUTDOOR AIR CONTROLLER</t>
  </si>
  <si>
    <t>AHU 3NP AHU OUTDOOR AIR CONTROLLER</t>
  </si>
  <si>
    <t>AHU 4NP AHU OUTDOOR AIR CONTROLLER</t>
  </si>
  <si>
    <t>AHU 5NP AHU OUTDOOR AIR CONTROLLER</t>
  </si>
  <si>
    <t>AHU 6NP AHU OUTDOOR AIR CONTROLLER</t>
  </si>
</sst>
</file>

<file path=xl/styles.xml><?xml version="1.0" encoding="utf-8"?>
<styleSheet xmlns="http://schemas.openxmlformats.org/spreadsheetml/2006/main" xmlns:mc="http://schemas.openxmlformats.org/markup-compatibility/2006" xmlns:x14ac="http://schemas.microsoft.com/office/spreadsheetml/2009/9/ac" mc:Ignorable="x14ac">
  <numFmts count="11">
    <numFmt numFmtId="177" formatCode="_(* #,##0.00_);_(* \(#,##0.00\);_(* &quot;-&quot;??_);_(@_)"/>
    <numFmt numFmtId="178" formatCode="0.0%"/>
    <numFmt numFmtId="179" formatCode="0.0000"/>
    <numFmt numFmtId="180" formatCode="0.000"/>
    <numFmt numFmtId="181" formatCode="0.0"/>
    <numFmt numFmtId="182" formatCode="#,##0.000_);\(#,##0.000\)"/>
    <numFmt numFmtId="183" formatCode="0.000000"/>
    <numFmt numFmtId="184" formatCode="#,##0.0000_);\(#,##0.0000\)"/>
    <numFmt numFmtId="185" formatCode="#,##0.00000_);\(#,##0.00000\)"/>
    <numFmt numFmtId="186" formatCode="#,##0.000000_);\(#,##0.000000\)"/>
    <numFmt numFmtId="194" formatCode="0.000%"/>
  </numFmts>
  <fonts count="18">
    <font>
      <sz val="11"/>
      <color theme="1"/>
      <name val="Calibri"/>
      <family val="2"/>
      <scheme val="minor"/>
    </font>
    <font>
      <sz val="10"/>
      <name val="Verdana"/>
      <family val="2"/>
    </font>
    <font>
      <sz val="10"/>
      <name val="Optima"/>
      <family val="2"/>
    </font>
    <font>
      <b/>
      <sz val="10"/>
      <name val="Optima"/>
      <family val="2"/>
    </font>
    <font>
      <i/>
      <sz val="11"/>
      <color indexed="8"/>
      <name val="Calibri"/>
      <family val="2"/>
    </font>
    <font>
      <i/>
      <vertAlign val="subscript"/>
      <sz val="11"/>
      <color indexed="8"/>
      <name val="Calibri"/>
      <family val="2"/>
    </font>
    <font>
      <i/>
      <vertAlign val="superscript"/>
      <sz val="11"/>
      <color indexed="8"/>
      <name val="Calibri"/>
      <family val="2"/>
    </font>
    <font>
      <sz val="11"/>
      <color theme="1"/>
      <name val="Calibri"/>
      <family val="2"/>
      <scheme val="minor"/>
    </font>
    <font>
      <sz val="11"/>
      <color rgb="FF9C0006"/>
      <name val="Calibri"/>
      <family val="2"/>
      <scheme val="minor"/>
    </font>
    <font>
      <b/>
      <sz val="11"/>
      <color theme="1"/>
      <name val="Calibri"/>
      <family val="2"/>
      <scheme val="minor"/>
    </font>
    <font>
      <b/>
      <sz val="24"/>
      <color theme="1"/>
      <name val="Calibri"/>
      <family val="2"/>
      <scheme val="minor"/>
    </font>
    <font>
      <b/>
      <sz val="10"/>
      <color rgb="FFF5F1E9"/>
      <name val="Optima"/>
      <family val="2"/>
    </font>
    <font>
      <sz val="10"/>
      <color theme="1"/>
      <name val="Optima"/>
      <family val="2"/>
    </font>
    <font>
      <sz val="10"/>
      <color theme="0"/>
      <name val="Optima"/>
      <family val="2"/>
    </font>
    <font>
      <b/>
      <sz val="10"/>
      <color theme="1"/>
      <name val="Optima"/>
      <family val="2"/>
    </font>
    <font>
      <i/>
      <sz val="11"/>
      <color theme="1"/>
      <name val="Calibri"/>
      <family val="2"/>
      <scheme val="minor"/>
    </font>
    <font>
      <sz val="10"/>
      <color rgb="FF333333"/>
      <name val="Optima"/>
      <family val="2"/>
    </font>
    <font>
      <b/>
      <sz val="10"/>
      <color rgb="FF333333"/>
      <name val="Optima"/>
      <family val="2"/>
    </font>
  </fonts>
  <fills count="8">
    <fill>
      <patternFill patternType="none"/>
    </fill>
    <fill>
      <patternFill patternType="gray125"/>
    </fill>
    <fill>
      <patternFill patternType="solid">
        <fgColor rgb="FFFFC7CE"/>
      </patternFill>
    </fill>
    <fill>
      <patternFill patternType="solid">
        <fgColor rgb="FFF5F1E9"/>
        <bgColor indexed="64"/>
      </patternFill>
    </fill>
    <fill>
      <patternFill patternType="solid">
        <fgColor rgb="FF006993"/>
        <bgColor indexed="64"/>
      </patternFill>
    </fill>
    <fill>
      <patternFill patternType="solid">
        <fgColor rgb="FFC0C0C0"/>
        <bgColor indexed="64"/>
      </patternFill>
    </fill>
    <fill>
      <patternFill patternType="solid">
        <fgColor rgb="FF9CD2E8"/>
        <bgColor indexed="64"/>
      </patternFill>
    </fill>
    <fill>
      <patternFill patternType="solid">
        <fgColor rgb="FFFFFF00"/>
        <bgColor indexed="64"/>
      </patternFill>
    </fill>
  </fills>
  <borders count="26">
    <border>
      <left/>
      <right/>
      <top/>
      <bottom/>
      <diagonal/>
    </border>
    <border>
      <left style="thick">
        <color indexed="64"/>
      </left>
      <right style="medium">
        <color indexed="64"/>
      </right>
      <top style="thick">
        <color indexed="64"/>
      </top>
      <bottom style="thin">
        <color indexed="64"/>
      </bottom>
      <diagonal/>
    </border>
    <border>
      <left style="medium">
        <color indexed="64"/>
      </left>
      <right style="medium">
        <color indexed="64"/>
      </right>
      <top style="thick">
        <color indexed="64"/>
      </top>
      <bottom style="thin">
        <color indexed="64"/>
      </bottom>
      <diagonal/>
    </border>
    <border>
      <left style="medium">
        <color indexed="64"/>
      </left>
      <right style="thick">
        <color indexed="64"/>
      </right>
      <top style="thick">
        <color indexed="64"/>
      </top>
      <bottom style="thin">
        <color indexed="64"/>
      </bottom>
      <diagonal/>
    </border>
    <border>
      <left style="thick">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ck">
        <color indexed="64"/>
      </right>
      <top style="thin">
        <color indexed="64"/>
      </top>
      <bottom style="thin">
        <color indexed="64"/>
      </bottom>
      <diagonal/>
    </border>
    <border>
      <left style="thick">
        <color indexed="64"/>
      </left>
      <right style="medium">
        <color indexed="64"/>
      </right>
      <top style="thin">
        <color indexed="64"/>
      </top>
      <bottom style="thick">
        <color indexed="64"/>
      </bottom>
      <diagonal/>
    </border>
    <border>
      <left style="medium">
        <color indexed="64"/>
      </left>
      <right style="medium">
        <color indexed="64"/>
      </right>
      <top style="thin">
        <color indexed="64"/>
      </top>
      <bottom style="thick">
        <color indexed="64"/>
      </bottom>
      <diagonal/>
    </border>
    <border>
      <left style="medium">
        <color indexed="64"/>
      </left>
      <right style="thick">
        <color indexed="64"/>
      </right>
      <top style="thin">
        <color indexed="64"/>
      </top>
      <bottom style="thick">
        <color indexed="64"/>
      </bottom>
      <diagonal/>
    </border>
    <border>
      <left/>
      <right/>
      <top style="thick">
        <color indexed="64"/>
      </top>
      <bottom/>
      <diagonal/>
    </border>
    <border>
      <left/>
      <right/>
      <top/>
      <bottom style="thick">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top/>
      <bottom style="medium">
        <color indexed="64"/>
      </bottom>
      <diagonal/>
    </border>
    <border>
      <left style="thick">
        <color indexed="64"/>
      </left>
      <right style="thick">
        <color indexed="64"/>
      </right>
      <top style="thick">
        <color indexed="64"/>
      </top>
      <bottom style="thick">
        <color indexed="64"/>
      </bottom>
      <diagonal/>
    </border>
    <border>
      <left style="thick">
        <color indexed="64"/>
      </left>
      <right style="medium">
        <color indexed="64"/>
      </right>
      <top style="thick">
        <color indexed="64"/>
      </top>
      <bottom/>
      <diagonal/>
    </border>
    <border>
      <left style="thick">
        <color indexed="64"/>
      </left>
      <right style="medium">
        <color indexed="64"/>
      </right>
      <top/>
      <bottom/>
      <diagonal/>
    </border>
    <border>
      <left style="thick">
        <color indexed="64"/>
      </left>
      <right style="medium">
        <color indexed="64"/>
      </right>
      <top/>
      <bottom style="thick">
        <color indexed="64"/>
      </bottom>
      <diagonal/>
    </border>
    <border>
      <left style="medium">
        <color indexed="64"/>
      </left>
      <right/>
      <top style="thick">
        <color indexed="64"/>
      </top>
      <bottom style="thin">
        <color indexed="64"/>
      </bottom>
      <diagonal/>
    </border>
    <border>
      <left/>
      <right/>
      <top style="thick">
        <color indexed="64"/>
      </top>
      <bottom style="thin">
        <color indexed="64"/>
      </bottom>
      <diagonal/>
    </border>
    <border>
      <left/>
      <right style="thick">
        <color indexed="64"/>
      </right>
      <top style="thick">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thick">
        <color indexed="64"/>
      </right>
      <top style="thin">
        <color indexed="64"/>
      </top>
      <bottom style="thin">
        <color indexed="64"/>
      </bottom>
      <diagonal/>
    </border>
  </borders>
  <cellStyleXfs count="5">
    <xf numFmtId="0" fontId="0" fillId="0" borderId="0"/>
    <xf numFmtId="0" fontId="8" fillId="2" borderId="0" applyNumberFormat="0" applyBorder="0" applyAlignment="0" applyProtection="0"/>
    <xf numFmtId="177" fontId="7" fillId="0" borderId="0" applyFont="0" applyFill="0" applyBorder="0" applyAlignment="0" applyProtection="0"/>
    <xf numFmtId="0" fontId="1" fillId="0" borderId="0"/>
    <xf numFmtId="9" fontId="7" fillId="0" borderId="0" applyFont="0" applyFill="0" applyBorder="0" applyAlignment="0" applyProtection="0"/>
  </cellStyleXfs>
  <cellXfs count="149">
    <xf numFmtId="0" fontId="0" fillId="0" borderId="0" xfId="0"/>
    <xf numFmtId="0" fontId="0" fillId="0" borderId="0" xfId="0" applyFill="1"/>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8" xfId="0" applyBorder="1" applyAlignment="1">
      <alignment horizontal="center"/>
    </xf>
    <xf numFmtId="0" fontId="0" fillId="0" borderId="9" xfId="0" applyBorder="1" applyAlignment="1">
      <alignment horizontal="center"/>
    </xf>
    <xf numFmtId="0" fontId="0" fillId="0" borderId="2" xfId="0" applyBorder="1" applyAlignment="1">
      <alignment horizontal="right"/>
    </xf>
    <xf numFmtId="0" fontId="0" fillId="0" borderId="5" xfId="0" applyBorder="1" applyAlignment="1">
      <alignment horizontal="right"/>
    </xf>
    <xf numFmtId="0" fontId="0" fillId="0" borderId="8" xfId="0" applyBorder="1" applyAlignment="1">
      <alignment horizontal="right"/>
    </xf>
    <xf numFmtId="0" fontId="0" fillId="0" borderId="3" xfId="0" applyBorder="1" applyAlignment="1">
      <alignment horizontal="right"/>
    </xf>
    <xf numFmtId="0" fontId="0" fillId="0" borderId="6" xfId="0" applyBorder="1" applyAlignment="1">
      <alignment horizontal="right"/>
    </xf>
    <xf numFmtId="0" fontId="0" fillId="0" borderId="9" xfId="0" applyBorder="1" applyAlignment="1">
      <alignment horizontal="right"/>
    </xf>
    <xf numFmtId="0" fontId="10" fillId="0" borderId="10" xfId="0" applyFont="1" applyBorder="1" applyAlignment="1">
      <alignment horizontal="center" vertical="center" textRotation="90"/>
    </xf>
    <xf numFmtId="0" fontId="0" fillId="0" borderId="10" xfId="0" applyBorder="1"/>
    <xf numFmtId="0" fontId="10" fillId="0" borderId="0" xfId="0" applyFont="1" applyBorder="1" applyAlignment="1">
      <alignment horizontal="center" vertical="center" textRotation="90"/>
    </xf>
    <xf numFmtId="0" fontId="0" fillId="0" borderId="0" xfId="0" applyBorder="1"/>
    <xf numFmtId="0" fontId="10" fillId="0" borderId="11" xfId="0" applyFont="1" applyBorder="1" applyAlignment="1">
      <alignment horizontal="center" vertical="center" textRotation="90"/>
    </xf>
    <xf numFmtId="0" fontId="2" fillId="3" borderId="12" xfId="0" applyFont="1" applyFill="1" applyBorder="1" applyAlignment="1" applyProtection="1">
      <alignment horizontal="center" vertical="center" wrapText="1"/>
      <protection locked="0"/>
    </xf>
    <xf numFmtId="0" fontId="11" fillId="4" borderId="12" xfId="0" applyFont="1" applyFill="1" applyBorder="1" applyAlignment="1">
      <alignment horizontal="center" vertical="top" wrapText="1"/>
    </xf>
    <xf numFmtId="2" fontId="12" fillId="3" borderId="12" xfId="0" applyNumberFormat="1" applyFont="1" applyFill="1" applyBorder="1" applyAlignment="1">
      <alignment horizontal="center"/>
    </xf>
    <xf numFmtId="0" fontId="11" fillId="4" borderId="12" xfId="0" applyFont="1" applyFill="1" applyBorder="1" applyAlignment="1" applyProtection="1">
      <alignment horizontal="center" vertical="top" wrapText="1"/>
      <protection locked="0"/>
    </xf>
    <xf numFmtId="0" fontId="11" fillId="4" borderId="12" xfId="0" quotePrefix="1" applyFont="1" applyFill="1" applyBorder="1" applyAlignment="1" applyProtection="1">
      <alignment horizontal="center" vertical="top"/>
      <protection locked="0"/>
    </xf>
    <xf numFmtId="178" fontId="2" fillId="3" borderId="12" xfId="3" applyNumberFormat="1" applyFont="1" applyFill="1" applyBorder="1" applyAlignment="1" applyProtection="1">
      <alignment horizontal="center" vertical="center"/>
      <protection locked="0"/>
    </xf>
    <xf numFmtId="0" fontId="12" fillId="3" borderId="12" xfId="0" quotePrefix="1" applyFont="1" applyFill="1" applyBorder="1" applyProtection="1">
      <protection locked="0"/>
    </xf>
    <xf numFmtId="2" fontId="12" fillId="3" borderId="12" xfId="0" applyNumberFormat="1" applyFont="1" applyFill="1" applyBorder="1" applyAlignment="1" applyProtection="1">
      <alignment horizontal="center"/>
      <protection locked="0"/>
    </xf>
    <xf numFmtId="1" fontId="12" fillId="3" borderId="12" xfId="0" applyNumberFormat="1" applyFont="1" applyFill="1" applyBorder="1" applyAlignment="1" applyProtection="1">
      <alignment horizontal="center"/>
      <protection locked="0"/>
    </xf>
    <xf numFmtId="0" fontId="12" fillId="3" borderId="12" xfId="0" applyFont="1" applyFill="1" applyBorder="1" applyProtection="1">
      <protection locked="0"/>
    </xf>
    <xf numFmtId="0" fontId="11" fillId="4" borderId="12" xfId="0" applyFont="1" applyFill="1" applyBorder="1" applyAlignment="1" applyProtection="1">
      <alignment horizontal="center" vertical="top"/>
      <protection locked="0"/>
    </xf>
    <xf numFmtId="180" fontId="12" fillId="3" borderId="12" xfId="0" applyNumberFormat="1" applyFont="1" applyFill="1" applyBorder="1" applyProtection="1">
      <protection locked="0"/>
    </xf>
    <xf numFmtId="37" fontId="12" fillId="3" borderId="12" xfId="2" applyNumberFormat="1" applyFont="1" applyFill="1" applyBorder="1" applyProtection="1">
      <protection locked="0"/>
    </xf>
    <xf numFmtId="0" fontId="11" fillId="4" borderId="12" xfId="0" applyFont="1" applyFill="1" applyBorder="1" applyProtection="1">
      <protection locked="0"/>
    </xf>
    <xf numFmtId="0" fontId="12" fillId="0" borderId="0" xfId="0" applyFont="1" applyFill="1"/>
    <xf numFmtId="0" fontId="12" fillId="0" borderId="0" xfId="0" applyFont="1" applyFill="1" applyProtection="1">
      <protection locked="0"/>
    </xf>
    <xf numFmtId="0" fontId="2" fillId="3" borderId="13" xfId="0" applyFont="1" applyFill="1" applyBorder="1" applyProtection="1"/>
    <xf numFmtId="0" fontId="13" fillId="4" borderId="13" xfId="0" applyFont="1" applyFill="1" applyBorder="1" applyProtection="1"/>
    <xf numFmtId="0" fontId="13" fillId="4" borderId="13" xfId="0" applyFont="1" applyFill="1" applyBorder="1" applyProtection="1">
      <protection locked="0"/>
    </xf>
    <xf numFmtId="0" fontId="12" fillId="0" borderId="0" xfId="0" applyFont="1" applyFill="1" applyProtection="1"/>
    <xf numFmtId="0" fontId="14" fillId="0" borderId="0" xfId="0" applyFont="1" applyFill="1" applyAlignment="1"/>
    <xf numFmtId="0" fontId="3" fillId="5" borderId="13" xfId="0" applyFont="1" applyFill="1" applyBorder="1" applyAlignment="1">
      <alignment horizontal="center" vertical="top" wrapText="1"/>
    </xf>
    <xf numFmtId="0" fontId="13" fillId="4" borderId="13" xfId="1" applyFont="1" applyFill="1" applyBorder="1" applyProtection="1"/>
    <xf numFmtId="182" fontId="13" fillId="4" borderId="13" xfId="1" applyNumberFormat="1" applyFont="1" applyFill="1" applyBorder="1" applyAlignment="1" applyProtection="1">
      <alignment horizontal="right"/>
    </xf>
    <xf numFmtId="37" fontId="13" fillId="4" borderId="13" xfId="1" applyNumberFormat="1" applyFont="1" applyFill="1" applyBorder="1" applyAlignment="1" applyProtection="1">
      <alignment horizontal="right"/>
    </xf>
    <xf numFmtId="39" fontId="13" fillId="4" borderId="13" xfId="1" applyNumberFormat="1" applyFont="1" applyFill="1" applyBorder="1" applyAlignment="1" applyProtection="1">
      <alignment horizontal="right"/>
    </xf>
    <xf numFmtId="0" fontId="13" fillId="4" borderId="13" xfId="1" applyFont="1" applyFill="1" applyBorder="1" applyAlignment="1" applyProtection="1">
      <alignment horizontal="right"/>
    </xf>
    <xf numFmtId="184" fontId="2" fillId="6" borderId="13" xfId="2" applyNumberFormat="1" applyFont="1" applyFill="1" applyBorder="1" applyAlignment="1" applyProtection="1">
      <alignment horizontal="right"/>
    </xf>
    <xf numFmtId="186" fontId="2" fillId="6" borderId="13" xfId="2" applyNumberFormat="1" applyFont="1" applyFill="1" applyBorder="1" applyAlignment="1" applyProtection="1">
      <alignment horizontal="right"/>
    </xf>
    <xf numFmtId="39" fontId="2" fillId="3" borderId="13" xfId="2" applyNumberFormat="1" applyFont="1" applyFill="1" applyBorder="1" applyAlignment="1" applyProtection="1">
      <alignment horizontal="right"/>
    </xf>
    <xf numFmtId="182" fontId="2" fillId="3" borderId="13" xfId="2" applyNumberFormat="1" applyFont="1" applyFill="1" applyBorder="1" applyAlignment="1" applyProtection="1">
      <alignment horizontal="right"/>
    </xf>
    <xf numFmtId="0" fontId="14" fillId="0" borderId="0" xfId="0" applyFont="1" applyFill="1" applyAlignment="1">
      <alignment horizontal="center" vertical="top" wrapText="1"/>
    </xf>
    <xf numFmtId="37" fontId="12" fillId="0" borderId="0" xfId="2" applyNumberFormat="1" applyFont="1" applyFill="1"/>
    <xf numFmtId="181" fontId="12" fillId="0" borderId="0" xfId="0" applyNumberFormat="1" applyFont="1" applyFill="1"/>
    <xf numFmtId="178" fontId="12" fillId="0" borderId="0" xfId="4" applyNumberFormat="1" applyFont="1" applyFill="1"/>
    <xf numFmtId="2" fontId="12" fillId="0" borderId="0" xfId="0" applyNumberFormat="1" applyFont="1" applyFill="1"/>
    <xf numFmtId="37" fontId="13" fillId="4" borderId="13" xfId="2" applyNumberFormat="1" applyFont="1" applyFill="1" applyBorder="1" applyAlignment="1" applyProtection="1">
      <alignment horizontal="right"/>
    </xf>
    <xf numFmtId="37" fontId="13" fillId="4" borderId="13" xfId="2" applyNumberFormat="1" applyFont="1" applyFill="1" applyBorder="1" applyProtection="1"/>
    <xf numFmtId="180" fontId="13" fillId="4" borderId="13" xfId="0" applyNumberFormat="1" applyFont="1" applyFill="1" applyBorder="1" applyProtection="1"/>
    <xf numFmtId="182" fontId="13" fillId="4" borderId="13" xfId="2" applyNumberFormat="1" applyFont="1" applyFill="1" applyBorder="1" applyProtection="1"/>
    <xf numFmtId="0" fontId="13" fillId="4" borderId="13" xfId="0" applyFont="1" applyFill="1" applyBorder="1" applyAlignment="1" applyProtection="1">
      <alignment horizontal="center" vertical="top" wrapText="1"/>
    </xf>
    <xf numFmtId="183" fontId="2" fillId="6" borderId="13" xfId="0" applyNumberFormat="1" applyFont="1" applyFill="1" applyBorder="1" applyProtection="1"/>
    <xf numFmtId="180" fontId="2" fillId="6" borderId="13" xfId="0" applyNumberFormat="1" applyFont="1" applyFill="1" applyBorder="1" applyAlignment="1" applyProtection="1">
      <alignment horizontal="right"/>
    </xf>
    <xf numFmtId="179" fontId="2" fillId="6" borderId="13" xfId="0" applyNumberFormat="1" applyFont="1" applyFill="1" applyBorder="1" applyAlignment="1" applyProtection="1">
      <alignment horizontal="right"/>
    </xf>
    <xf numFmtId="181" fontId="2" fillId="6" borderId="13" xfId="0" applyNumberFormat="1" applyFont="1" applyFill="1" applyBorder="1" applyAlignment="1" applyProtection="1">
      <alignment horizontal="right"/>
    </xf>
    <xf numFmtId="37" fontId="2" fillId="3" borderId="13" xfId="2" applyNumberFormat="1" applyFont="1" applyFill="1" applyBorder="1" applyProtection="1"/>
    <xf numFmtId="2" fontId="2" fillId="3" borderId="13" xfId="0" applyNumberFormat="1" applyFont="1" applyFill="1" applyBorder="1" applyProtection="1"/>
    <xf numFmtId="178" fontId="2" fillId="3" borderId="13" xfId="4" applyNumberFormat="1" applyFont="1" applyFill="1" applyBorder="1" applyProtection="1"/>
    <xf numFmtId="181" fontId="2" fillId="3" borderId="13" xfId="0" applyNumberFormat="1" applyFont="1" applyFill="1" applyBorder="1" applyAlignment="1" applyProtection="1">
      <alignment horizontal="right"/>
    </xf>
    <xf numFmtId="0" fontId="2" fillId="3" borderId="13" xfId="0" applyNumberFormat="1" applyFont="1" applyFill="1" applyBorder="1" applyProtection="1"/>
    <xf numFmtId="0" fontId="14" fillId="0" borderId="0" xfId="0" applyFont="1" applyFill="1" applyAlignment="1" applyProtection="1">
      <alignment horizontal="center" vertical="top" wrapText="1"/>
      <protection locked="0"/>
    </xf>
    <xf numFmtId="37" fontId="12" fillId="0" borderId="0" xfId="2" applyNumberFormat="1" applyFont="1" applyFill="1" applyProtection="1">
      <protection locked="0"/>
    </xf>
    <xf numFmtId="0" fontId="12" fillId="0" borderId="0" xfId="0" applyFont="1" applyFill="1" applyAlignment="1" applyProtection="1">
      <alignment horizontal="right"/>
      <protection locked="0"/>
    </xf>
    <xf numFmtId="1" fontId="12" fillId="0" borderId="0" xfId="0" applyNumberFormat="1" applyFont="1" applyFill="1" applyAlignment="1">
      <alignment horizontal="center"/>
    </xf>
    <xf numFmtId="1" fontId="12" fillId="0" borderId="0" xfId="0" applyNumberFormat="1" applyFont="1" applyFill="1"/>
    <xf numFmtId="183" fontId="2" fillId="6" borderId="13" xfId="0" applyNumberFormat="1" applyFont="1" applyFill="1" applyBorder="1" applyProtection="1">
      <protection locked="0"/>
    </xf>
    <xf numFmtId="179" fontId="2" fillId="6" borderId="13" xfId="0" applyNumberFormat="1" applyFont="1" applyFill="1" applyBorder="1" applyAlignment="1" applyProtection="1">
      <alignment horizontal="right"/>
      <protection locked="0"/>
    </xf>
    <xf numFmtId="181" fontId="2" fillId="6" borderId="13" xfId="0" applyNumberFormat="1" applyFont="1" applyFill="1" applyBorder="1" applyAlignment="1" applyProtection="1">
      <alignment horizontal="right"/>
      <protection locked="0"/>
    </xf>
    <xf numFmtId="37" fontId="13" fillId="4" borderId="13" xfId="2" applyNumberFormat="1" applyFont="1" applyFill="1" applyBorder="1" applyAlignment="1" applyProtection="1">
      <alignment horizontal="right"/>
      <protection locked="0"/>
    </xf>
    <xf numFmtId="37" fontId="13" fillId="4" borderId="13" xfId="2" applyNumberFormat="1" applyFont="1" applyFill="1" applyBorder="1" applyProtection="1">
      <protection locked="0"/>
    </xf>
    <xf numFmtId="37" fontId="2" fillId="3" borderId="13" xfId="2" applyNumberFormat="1" applyFont="1" applyFill="1" applyBorder="1" applyProtection="1">
      <protection locked="0"/>
    </xf>
    <xf numFmtId="180" fontId="13" fillId="4" borderId="13" xfId="0" applyNumberFormat="1" applyFont="1" applyFill="1" applyBorder="1" applyProtection="1">
      <protection locked="0"/>
    </xf>
    <xf numFmtId="182" fontId="13" fillId="4" borderId="13" xfId="2" applyNumberFormat="1" applyFont="1" applyFill="1" applyBorder="1" applyProtection="1">
      <protection locked="0"/>
    </xf>
    <xf numFmtId="2" fontId="2" fillId="3" borderId="13" xfId="0" applyNumberFormat="1" applyFont="1" applyFill="1" applyBorder="1" applyProtection="1">
      <protection locked="0"/>
    </xf>
    <xf numFmtId="181" fontId="2" fillId="3" borderId="13" xfId="0" applyNumberFormat="1" applyFont="1" applyFill="1" applyBorder="1" applyAlignment="1" applyProtection="1">
      <alignment horizontal="right"/>
      <protection locked="0"/>
    </xf>
    <xf numFmtId="0" fontId="2" fillId="3" borderId="13" xfId="0" applyNumberFormat="1" applyFont="1" applyFill="1" applyBorder="1" applyProtection="1">
      <protection locked="0"/>
    </xf>
    <xf numFmtId="0" fontId="12" fillId="3" borderId="12" xfId="0" applyNumberFormat="1" applyFont="1" applyFill="1" applyBorder="1" applyAlignment="1" applyProtection="1">
      <alignment horizontal="center"/>
      <protection locked="0"/>
    </xf>
    <xf numFmtId="2" fontId="2" fillId="3" borderId="12" xfId="3" applyNumberFormat="1" applyFont="1" applyFill="1" applyBorder="1" applyAlignment="1" applyProtection="1">
      <alignment horizontal="center" vertical="center"/>
      <protection locked="0"/>
    </xf>
    <xf numFmtId="1" fontId="13" fillId="4" borderId="13" xfId="1" applyNumberFormat="1" applyFont="1" applyFill="1" applyBorder="1" applyAlignment="1" applyProtection="1">
      <alignment horizontal="right"/>
    </xf>
    <xf numFmtId="180" fontId="2" fillId="6" borderId="13" xfId="0" applyNumberFormat="1" applyFont="1" applyFill="1" applyBorder="1" applyAlignment="1" applyProtection="1">
      <alignment horizontal="right"/>
      <protection locked="0"/>
    </xf>
    <xf numFmtId="2" fontId="2" fillId="3" borderId="13" xfId="0" applyNumberFormat="1" applyFont="1" applyFill="1" applyBorder="1" applyAlignment="1" applyProtection="1">
      <alignment horizontal="right"/>
    </xf>
    <xf numFmtId="2" fontId="2" fillId="3" borderId="13" xfId="0" applyNumberFormat="1" applyFont="1" applyFill="1" applyBorder="1" applyAlignment="1" applyProtection="1">
      <alignment horizontal="right"/>
      <protection locked="0"/>
    </xf>
    <xf numFmtId="0" fontId="13" fillId="4" borderId="13" xfId="1" applyFont="1" applyFill="1" applyBorder="1" applyProtection="1">
      <protection locked="0"/>
    </xf>
    <xf numFmtId="186" fontId="2" fillId="6" borderId="13" xfId="2" applyNumberFormat="1" applyFont="1" applyFill="1" applyBorder="1" applyAlignment="1" applyProtection="1">
      <alignment horizontal="right"/>
      <protection locked="0"/>
    </xf>
    <xf numFmtId="182" fontId="2" fillId="6" borderId="13" xfId="2" applyNumberFormat="1" applyFont="1" applyFill="1" applyBorder="1" applyAlignment="1" applyProtection="1">
      <alignment horizontal="right"/>
      <protection locked="0"/>
    </xf>
    <xf numFmtId="184" fontId="2" fillId="6" borderId="13" xfId="2" applyNumberFormat="1" applyFont="1" applyFill="1" applyBorder="1" applyAlignment="1" applyProtection="1">
      <alignment horizontal="right"/>
      <protection locked="0"/>
    </xf>
    <xf numFmtId="182" fontId="13" fillId="4" borderId="13" xfId="1" applyNumberFormat="1" applyFont="1" applyFill="1" applyBorder="1" applyAlignment="1" applyProtection="1">
      <alignment horizontal="right"/>
      <protection locked="0"/>
    </xf>
    <xf numFmtId="37" fontId="13" fillId="4" borderId="13" xfId="1" applyNumberFormat="1" applyFont="1" applyFill="1" applyBorder="1" applyAlignment="1" applyProtection="1">
      <alignment horizontal="right"/>
      <protection locked="0"/>
    </xf>
    <xf numFmtId="39" fontId="13" fillId="4" borderId="13" xfId="1" applyNumberFormat="1" applyFont="1" applyFill="1" applyBorder="1" applyAlignment="1" applyProtection="1">
      <alignment horizontal="right"/>
      <protection locked="0"/>
    </xf>
    <xf numFmtId="39" fontId="2" fillId="3" borderId="13" xfId="2" applyNumberFormat="1" applyFont="1" applyFill="1" applyBorder="1" applyAlignment="1" applyProtection="1">
      <alignment horizontal="right"/>
      <protection locked="0"/>
    </xf>
    <xf numFmtId="182" fontId="2" fillId="3" borderId="13" xfId="2" applyNumberFormat="1" applyFont="1" applyFill="1" applyBorder="1" applyAlignment="1" applyProtection="1">
      <alignment horizontal="right"/>
      <protection locked="0"/>
    </xf>
    <xf numFmtId="0" fontId="13" fillId="4" borderId="13" xfId="1" applyFont="1" applyFill="1" applyBorder="1" applyAlignment="1" applyProtection="1">
      <alignment horizontal="right"/>
      <protection locked="0"/>
    </xf>
    <xf numFmtId="185" fontId="12" fillId="0" borderId="0" xfId="0" applyNumberFormat="1" applyFont="1" applyFill="1"/>
    <xf numFmtId="181" fontId="0" fillId="0" borderId="0" xfId="0" applyNumberFormat="1"/>
    <xf numFmtId="1" fontId="0" fillId="0" borderId="0" xfId="0" applyNumberFormat="1"/>
    <xf numFmtId="178" fontId="2" fillId="3" borderId="13" xfId="4" applyNumberFormat="1" applyFont="1" applyFill="1" applyBorder="1" applyProtection="1">
      <protection locked="0"/>
    </xf>
    <xf numFmtId="0" fontId="13" fillId="4" borderId="13" xfId="0" applyFont="1" applyFill="1" applyBorder="1" applyAlignment="1" applyProtection="1">
      <alignment horizontal="center" vertical="top" wrapText="1"/>
      <protection locked="0"/>
    </xf>
    <xf numFmtId="0" fontId="2" fillId="3" borderId="13" xfId="0" applyFont="1" applyFill="1" applyBorder="1" applyProtection="1">
      <protection locked="0"/>
    </xf>
    <xf numFmtId="0" fontId="0" fillId="0" borderId="0" xfId="0" applyAlignment="1">
      <alignment vertical="top" wrapText="1"/>
    </xf>
    <xf numFmtId="9" fontId="7" fillId="0" borderId="0" xfId="4" applyFont="1"/>
    <xf numFmtId="194" fontId="0" fillId="0" borderId="0" xfId="0" applyNumberFormat="1"/>
    <xf numFmtId="0" fontId="15" fillId="0" borderId="0" xfId="0" applyFont="1" applyAlignment="1">
      <alignment horizontal="left" vertical="center" indent="1"/>
    </xf>
    <xf numFmtId="0" fontId="0" fillId="0" borderId="0" xfId="0" applyAlignment="1">
      <alignment horizontal="left" vertical="center" indent="1"/>
    </xf>
    <xf numFmtId="0" fontId="15" fillId="7" borderId="0" xfId="0" applyFont="1" applyFill="1"/>
    <xf numFmtId="0" fontId="9" fillId="0" borderId="0" xfId="0" applyFont="1"/>
    <xf numFmtId="178" fontId="0" fillId="0" borderId="0" xfId="0" applyNumberFormat="1"/>
    <xf numFmtId="0" fontId="15" fillId="0" borderId="0" xfId="0" applyFont="1"/>
    <xf numFmtId="0" fontId="0" fillId="0" borderId="14" xfId="0" applyBorder="1" applyAlignment="1">
      <alignment wrapText="1"/>
    </xf>
    <xf numFmtId="0" fontId="0" fillId="0" borderId="15" xfId="0" applyBorder="1" applyAlignment="1">
      <alignment wrapText="1"/>
    </xf>
    <xf numFmtId="181" fontId="0" fillId="0" borderId="0" xfId="0" applyNumberFormat="1" applyBorder="1" applyAlignment="1">
      <alignment horizontal="right" vertical="center" wrapText="1"/>
    </xf>
    <xf numFmtId="181" fontId="0" fillId="0" borderId="0" xfId="0" applyNumberFormat="1" applyAlignment="1">
      <alignment horizontal="right"/>
    </xf>
    <xf numFmtId="2" fontId="0" fillId="0" borderId="0" xfId="0" applyNumberFormat="1"/>
    <xf numFmtId="0" fontId="0" fillId="0" borderId="14" xfId="0" applyBorder="1" applyAlignment="1">
      <alignment vertical="top" wrapText="1"/>
    </xf>
    <xf numFmtId="0" fontId="16" fillId="0" borderId="0" xfId="0" applyFont="1" applyFill="1" applyAlignment="1">
      <alignment horizontal="left" vertical="top" wrapText="1"/>
    </xf>
    <xf numFmtId="0" fontId="13" fillId="4" borderId="0" xfId="0" applyFont="1" applyFill="1" applyAlignment="1">
      <alignment horizontal="center"/>
    </xf>
    <xf numFmtId="0" fontId="2" fillId="6" borderId="0" xfId="0" applyFont="1" applyFill="1" applyAlignment="1">
      <alignment horizontal="center"/>
    </xf>
    <xf numFmtId="0" fontId="17" fillId="0" borderId="0" xfId="0" applyFont="1" applyFill="1" applyAlignment="1">
      <alignment horizontal="center"/>
    </xf>
    <xf numFmtId="0" fontId="14" fillId="0" borderId="0" xfId="0" applyFont="1" applyFill="1" applyAlignment="1" applyProtection="1">
      <alignment horizontal="center" vertical="top" wrapText="1"/>
      <protection locked="0"/>
    </xf>
    <xf numFmtId="0" fontId="11" fillId="4" borderId="12" xfId="0" applyFont="1" applyFill="1" applyBorder="1" applyAlignment="1" applyProtection="1">
      <alignment horizontal="center"/>
      <protection locked="0"/>
    </xf>
    <xf numFmtId="0" fontId="14" fillId="0" borderId="0" xfId="0" applyFont="1" applyFill="1" applyAlignment="1" applyProtection="1">
      <alignment horizontal="center"/>
    </xf>
    <xf numFmtId="0" fontId="9" fillId="0" borderId="20" xfId="0" applyFont="1" applyBorder="1" applyAlignment="1">
      <alignment horizontal="center"/>
    </xf>
    <xf numFmtId="0" fontId="9" fillId="0" borderId="21" xfId="0" applyFont="1" applyBorder="1" applyAlignment="1">
      <alignment horizontal="center"/>
    </xf>
    <xf numFmtId="0" fontId="9" fillId="0" borderId="22" xfId="0" applyFont="1" applyBorder="1" applyAlignment="1">
      <alignment horizontal="center"/>
    </xf>
    <xf numFmtId="0" fontId="0" fillId="0" borderId="23" xfId="0" applyBorder="1" applyAlignment="1">
      <alignment horizontal="center"/>
    </xf>
    <xf numFmtId="0" fontId="0" fillId="0" borderId="24" xfId="0" applyBorder="1" applyAlignment="1">
      <alignment horizontal="center"/>
    </xf>
    <xf numFmtId="0" fontId="0" fillId="0" borderId="25" xfId="0" applyBorder="1" applyAlignment="1">
      <alignment horizontal="center"/>
    </xf>
    <xf numFmtId="0" fontId="9" fillId="0" borderId="2" xfId="0" applyFont="1" applyBorder="1" applyAlignment="1">
      <alignment horizontal="center"/>
    </xf>
    <xf numFmtId="0" fontId="0" fillId="0" borderId="5" xfId="0" applyBorder="1" applyAlignment="1">
      <alignment horizontal="center"/>
    </xf>
    <xf numFmtId="0" fontId="10" fillId="0" borderId="16" xfId="0" applyFont="1" applyBorder="1" applyAlignment="1">
      <alignment horizontal="center" vertical="center" textRotation="90"/>
    </xf>
    <xf numFmtId="0" fontId="9" fillId="0" borderId="17" xfId="0" applyFont="1" applyBorder="1" applyAlignment="1">
      <alignment horizontal="center" vertical="center" wrapText="1"/>
    </xf>
    <xf numFmtId="0" fontId="9" fillId="0" borderId="18" xfId="0" applyFont="1" applyBorder="1" applyAlignment="1">
      <alignment horizontal="center" vertical="center" wrapText="1"/>
    </xf>
    <xf numFmtId="0" fontId="9" fillId="0" borderId="19" xfId="0" applyFont="1" applyBorder="1" applyAlignment="1">
      <alignment horizontal="center" vertical="center" wrapText="1"/>
    </xf>
    <xf numFmtId="0" fontId="9" fillId="0" borderId="3" xfId="0" applyFont="1" applyBorder="1" applyAlignment="1">
      <alignment horizontal="center"/>
    </xf>
    <xf numFmtId="0" fontId="0" fillId="0" borderId="6" xfId="0" applyBorder="1" applyAlignment="1">
      <alignment horizontal="center"/>
    </xf>
    <xf numFmtId="16" fontId="0" fillId="0" borderId="0" xfId="0" applyNumberFormat="1"/>
  </cellXfs>
  <cellStyles count="5">
    <cellStyle name="Komma" xfId="2" builtinId="3"/>
    <cellStyle name="Normal 2" xfId="3"/>
    <cellStyle name="Prozent" xfId="4" builtinId="5"/>
    <cellStyle name="Schlecht" xfId="1" builtinId="27"/>
    <cellStyle name="Standard" xfId="0" builtinId="0"/>
  </cellStyles>
  <dxfs count="4">
    <dxf>
      <fill>
        <patternFill>
          <bgColor indexed="53"/>
        </patternFill>
      </fill>
    </dxf>
    <dxf>
      <fill>
        <patternFill>
          <bgColor indexed="43"/>
        </patternFill>
      </fill>
    </dxf>
    <dxf>
      <fill>
        <patternFill>
          <bgColor indexed="53"/>
        </patternFill>
      </fill>
    </dxf>
    <dxf>
      <fill>
        <patternFill>
          <bgColor indexed="43"/>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95250</xdr:colOff>
      <xdr:row>5</xdr:row>
      <xdr:rowOff>28575</xdr:rowOff>
    </xdr:from>
    <xdr:to>
      <xdr:col>0</xdr:col>
      <xdr:colOff>1133475</xdr:colOff>
      <xdr:row>7</xdr:row>
      <xdr:rowOff>9525</xdr:rowOff>
    </xdr:to>
    <xdr:sp macro="[0]!AddPropSystem" textlink="">
      <xdr:nvSpPr>
        <xdr:cNvPr id="2" name="Rectangle 1"/>
        <xdr:cNvSpPr/>
      </xdr:nvSpPr>
      <xdr:spPr>
        <a:xfrm>
          <a:off x="95250" y="838200"/>
          <a:ext cx="1038225" cy="304800"/>
        </a:xfrm>
        <a:prstGeom prst="rect">
          <a:avLst/>
        </a:prstGeom>
        <a:solidFill>
          <a:schemeClr val="bg1">
            <a:lumMod val="65000"/>
          </a:schemeClr>
        </a:solidFill>
        <a:ln>
          <a:no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n-US" sz="1100" b="1">
              <a:solidFill>
                <a:sysClr val="windowText" lastClr="000000"/>
              </a:solidFill>
            </a:rPr>
            <a:t>Add System</a:t>
          </a:r>
        </a:p>
      </xdr:txBody>
    </xdr:sp>
    <xdr:clientData/>
  </xdr:twoCellAnchor>
  <xdr:twoCellAnchor>
    <xdr:from>
      <xdr:col>0</xdr:col>
      <xdr:colOff>1343025</xdr:colOff>
      <xdr:row>5</xdr:row>
      <xdr:rowOff>28575</xdr:rowOff>
    </xdr:from>
    <xdr:to>
      <xdr:col>1</xdr:col>
      <xdr:colOff>714375</xdr:colOff>
      <xdr:row>7</xdr:row>
      <xdr:rowOff>9525</xdr:rowOff>
    </xdr:to>
    <xdr:sp macro="[0]!DeletePropSystem" textlink="">
      <xdr:nvSpPr>
        <xdr:cNvPr id="8" name="Rectangle 7"/>
        <xdr:cNvSpPr/>
      </xdr:nvSpPr>
      <xdr:spPr>
        <a:xfrm>
          <a:off x="1343025" y="838200"/>
          <a:ext cx="1038225" cy="304800"/>
        </a:xfrm>
        <a:prstGeom prst="rect">
          <a:avLst/>
        </a:prstGeom>
        <a:solidFill>
          <a:schemeClr val="bg1">
            <a:lumMod val="65000"/>
          </a:schemeClr>
        </a:solidFill>
        <a:ln>
          <a:no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n-US" sz="1100" b="1">
              <a:solidFill>
                <a:sysClr val="windowText" lastClr="000000"/>
              </a:solidFill>
            </a:rPr>
            <a:t>Delete</a:t>
          </a:r>
          <a:r>
            <a:rPr lang="en-US" sz="1100" b="1" baseline="0">
              <a:solidFill>
                <a:sysClr val="windowText" lastClr="000000"/>
              </a:solidFill>
            </a:rPr>
            <a:t> System</a:t>
          </a:r>
          <a:endParaRPr lang="en-US" sz="1100" b="1">
            <a:solidFill>
              <a:sysClr val="windowText" lastClr="000000"/>
            </a:solidFill>
          </a:endParaRPr>
        </a:p>
      </xdr:txBody>
    </xdr:sp>
    <xdr:clientData/>
  </xdr:twoCellAnchor>
  <xdr:twoCellAnchor>
    <xdr:from>
      <xdr:col>1</xdr:col>
      <xdr:colOff>933450</xdr:colOff>
      <xdr:row>5</xdr:row>
      <xdr:rowOff>28575</xdr:rowOff>
    </xdr:from>
    <xdr:to>
      <xdr:col>2</xdr:col>
      <xdr:colOff>66675</xdr:colOff>
      <xdr:row>7</xdr:row>
      <xdr:rowOff>9525</xdr:rowOff>
    </xdr:to>
    <xdr:sp macro="[0]!EditPropSystem" textlink="">
      <xdr:nvSpPr>
        <xdr:cNvPr id="9" name="Rectangle 8"/>
        <xdr:cNvSpPr/>
      </xdr:nvSpPr>
      <xdr:spPr>
        <a:xfrm>
          <a:off x="2600325" y="838200"/>
          <a:ext cx="1038225" cy="304800"/>
        </a:xfrm>
        <a:prstGeom prst="rect">
          <a:avLst/>
        </a:prstGeom>
        <a:solidFill>
          <a:schemeClr val="bg1">
            <a:lumMod val="65000"/>
          </a:schemeClr>
        </a:solidFill>
        <a:ln>
          <a:no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n-US" sz="1100" b="1">
              <a:solidFill>
                <a:sysClr val="windowText" lastClr="000000"/>
              </a:solidFill>
            </a:rPr>
            <a:t>Edit System</a:t>
          </a:r>
        </a:p>
      </xdr:txBody>
    </xdr:sp>
    <xdr:clientData/>
  </xdr:twoCellAnchor>
  <xdr:twoCellAnchor>
    <xdr:from>
      <xdr:col>3</xdr:col>
      <xdr:colOff>190500</xdr:colOff>
      <xdr:row>5</xdr:row>
      <xdr:rowOff>28575</xdr:rowOff>
    </xdr:from>
    <xdr:to>
      <xdr:col>5</xdr:col>
      <xdr:colOff>447675</xdr:colOff>
      <xdr:row>7</xdr:row>
      <xdr:rowOff>9525</xdr:rowOff>
    </xdr:to>
    <xdr:sp macro="[0]!MainPage" textlink="">
      <xdr:nvSpPr>
        <xdr:cNvPr id="10" name="Rectangle 9"/>
        <xdr:cNvSpPr/>
      </xdr:nvSpPr>
      <xdr:spPr>
        <a:xfrm>
          <a:off x="4362450" y="838200"/>
          <a:ext cx="1457325" cy="304800"/>
        </a:xfrm>
        <a:prstGeom prst="rect">
          <a:avLst/>
        </a:prstGeom>
        <a:solidFill>
          <a:schemeClr val="bg1">
            <a:lumMod val="65000"/>
          </a:schemeClr>
        </a:solidFill>
        <a:ln>
          <a:no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n-US" sz="1100" b="1">
              <a:solidFill>
                <a:sysClr val="windowText" lastClr="000000"/>
              </a:solidFill>
            </a:rPr>
            <a:t>Back</a:t>
          </a:r>
          <a:r>
            <a:rPr lang="en-US" sz="1100" b="1" baseline="0">
              <a:solidFill>
                <a:sysClr val="windowText" lastClr="000000"/>
              </a:solidFill>
            </a:rPr>
            <a:t> to Main Page</a:t>
          </a:r>
          <a:endParaRPr lang="en-US" sz="1100" b="1">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85725</xdr:colOff>
      <xdr:row>5</xdr:row>
      <xdr:rowOff>28575</xdr:rowOff>
    </xdr:from>
    <xdr:to>
      <xdr:col>0</xdr:col>
      <xdr:colOff>1152525</xdr:colOff>
      <xdr:row>7</xdr:row>
      <xdr:rowOff>0</xdr:rowOff>
    </xdr:to>
    <xdr:sp macro="[0]!AddBaseSystem" textlink="">
      <xdr:nvSpPr>
        <xdr:cNvPr id="2" name="Rectangle 1"/>
        <xdr:cNvSpPr/>
      </xdr:nvSpPr>
      <xdr:spPr>
        <a:xfrm>
          <a:off x="85725" y="838200"/>
          <a:ext cx="1066800" cy="295275"/>
        </a:xfrm>
        <a:prstGeom prst="rect">
          <a:avLst/>
        </a:prstGeom>
        <a:solidFill>
          <a:schemeClr val="bg1">
            <a:lumMod val="75000"/>
          </a:schemeClr>
        </a:solidFill>
        <a:ln>
          <a:no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n-US" sz="1100" b="1">
              <a:solidFill>
                <a:sysClr val="windowText" lastClr="000000"/>
              </a:solidFill>
            </a:rPr>
            <a:t>Add System</a:t>
          </a:r>
        </a:p>
      </xdr:txBody>
    </xdr:sp>
    <xdr:clientData/>
  </xdr:twoCellAnchor>
  <xdr:twoCellAnchor>
    <xdr:from>
      <xdr:col>0</xdr:col>
      <xdr:colOff>1333500</xdr:colOff>
      <xdr:row>5</xdr:row>
      <xdr:rowOff>28575</xdr:rowOff>
    </xdr:from>
    <xdr:to>
      <xdr:col>1</xdr:col>
      <xdr:colOff>866775</xdr:colOff>
      <xdr:row>7</xdr:row>
      <xdr:rowOff>0</xdr:rowOff>
    </xdr:to>
    <xdr:sp macro="[0]!DeleteBaseSystem" textlink="">
      <xdr:nvSpPr>
        <xdr:cNvPr id="7" name="Rectangle 6"/>
        <xdr:cNvSpPr/>
      </xdr:nvSpPr>
      <xdr:spPr>
        <a:xfrm>
          <a:off x="1333500" y="838200"/>
          <a:ext cx="1200150" cy="295275"/>
        </a:xfrm>
        <a:prstGeom prst="rect">
          <a:avLst/>
        </a:prstGeom>
        <a:solidFill>
          <a:schemeClr val="bg1">
            <a:lumMod val="75000"/>
          </a:schemeClr>
        </a:solidFill>
        <a:ln>
          <a:no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n-US" sz="1100" b="1">
              <a:solidFill>
                <a:sysClr val="windowText" lastClr="000000"/>
              </a:solidFill>
            </a:rPr>
            <a:t>Delete System</a:t>
          </a:r>
        </a:p>
      </xdr:txBody>
    </xdr:sp>
    <xdr:clientData/>
  </xdr:twoCellAnchor>
  <xdr:twoCellAnchor>
    <xdr:from>
      <xdr:col>1</xdr:col>
      <xdr:colOff>1038225</xdr:colOff>
      <xdr:row>5</xdr:row>
      <xdr:rowOff>28575</xdr:rowOff>
    </xdr:from>
    <xdr:to>
      <xdr:col>2</xdr:col>
      <xdr:colOff>142875</xdr:colOff>
      <xdr:row>7</xdr:row>
      <xdr:rowOff>0</xdr:rowOff>
    </xdr:to>
    <xdr:sp macro="[0]!EditBaseSystem" textlink="">
      <xdr:nvSpPr>
        <xdr:cNvPr id="8" name="Rectangle 7"/>
        <xdr:cNvSpPr/>
      </xdr:nvSpPr>
      <xdr:spPr>
        <a:xfrm>
          <a:off x="2705100" y="838200"/>
          <a:ext cx="1009650" cy="295275"/>
        </a:xfrm>
        <a:prstGeom prst="rect">
          <a:avLst/>
        </a:prstGeom>
        <a:solidFill>
          <a:schemeClr val="bg1">
            <a:lumMod val="75000"/>
          </a:schemeClr>
        </a:solidFill>
        <a:ln>
          <a:no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n-US" sz="1100" b="1">
              <a:solidFill>
                <a:sysClr val="windowText" lastClr="000000"/>
              </a:solidFill>
            </a:rPr>
            <a:t>Edit System</a:t>
          </a:r>
        </a:p>
      </xdr:txBody>
    </xdr:sp>
    <xdr:clientData/>
  </xdr:twoCellAnchor>
  <xdr:twoCellAnchor>
    <xdr:from>
      <xdr:col>2</xdr:col>
      <xdr:colOff>1009650</xdr:colOff>
      <xdr:row>5</xdr:row>
      <xdr:rowOff>28575</xdr:rowOff>
    </xdr:from>
    <xdr:to>
      <xdr:col>3</xdr:col>
      <xdr:colOff>933450</xdr:colOff>
      <xdr:row>7</xdr:row>
      <xdr:rowOff>0</xdr:rowOff>
    </xdr:to>
    <xdr:sp macro="[0]!MainPage" textlink="">
      <xdr:nvSpPr>
        <xdr:cNvPr id="9" name="Rectangle 8"/>
        <xdr:cNvSpPr/>
      </xdr:nvSpPr>
      <xdr:spPr>
        <a:xfrm>
          <a:off x="4581525" y="838200"/>
          <a:ext cx="1447800" cy="295275"/>
        </a:xfrm>
        <a:prstGeom prst="rect">
          <a:avLst/>
        </a:prstGeom>
        <a:solidFill>
          <a:schemeClr val="bg1">
            <a:lumMod val="75000"/>
          </a:schemeClr>
        </a:solidFill>
        <a:ln>
          <a:no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n-US" sz="1100" b="1">
              <a:solidFill>
                <a:sysClr val="windowText" lastClr="000000"/>
              </a:solidFill>
            </a:rPr>
            <a:t>Back</a:t>
          </a:r>
          <a:r>
            <a:rPr lang="en-US" sz="1100" b="1" baseline="0">
              <a:solidFill>
                <a:sysClr val="windowText" lastClr="000000"/>
              </a:solidFill>
            </a:rPr>
            <a:t> to Main Page</a:t>
          </a:r>
          <a:endParaRPr lang="en-US" sz="1100" b="1">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xdr:colOff>
      <xdr:row>0</xdr:row>
      <xdr:rowOff>0</xdr:rowOff>
    </xdr:from>
    <xdr:to>
      <xdr:col>13</xdr:col>
      <xdr:colOff>419101</xdr:colOff>
      <xdr:row>17</xdr:row>
      <xdr:rowOff>28575</xdr:rowOff>
    </xdr:to>
    <xdr:sp macro="" textlink="">
      <xdr:nvSpPr>
        <xdr:cNvPr id="2" name="TextBox 1"/>
        <xdr:cNvSpPr txBox="1"/>
      </xdr:nvSpPr>
      <xdr:spPr>
        <a:xfrm>
          <a:off x="1" y="0"/>
          <a:ext cx="8343900" cy="3267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i="0">
              <a:solidFill>
                <a:schemeClr val="dk1"/>
              </a:solidFill>
              <a:latin typeface="+mn-lt"/>
              <a:ea typeface="+mn-ea"/>
              <a:cs typeface="+mn-cs"/>
            </a:rPr>
            <a:t>Energy Model Input Translator</a:t>
          </a:r>
        </a:p>
        <a:p>
          <a:r>
            <a:rPr lang="en-US" sz="1100" b="1" i="0">
              <a:solidFill>
                <a:schemeClr val="dk1"/>
              </a:solidFill>
              <a:latin typeface="+mn-lt"/>
              <a:ea typeface="+mn-ea"/>
              <a:cs typeface="+mn-cs"/>
            </a:rPr>
            <a:t>Copyright © 2010-2011, Rocky Mountain Institute &lt;http://www.rmi.org&gt;</a:t>
          </a:r>
          <a:endParaRPr lang="en-US"/>
        </a:p>
        <a:p>
          <a:r>
            <a:rPr lang="en-US" sz="1100" b="1" i="0">
              <a:solidFill>
                <a:schemeClr val="dk1"/>
              </a:solidFill>
              <a:latin typeface="+mn-lt"/>
              <a:ea typeface="+mn-ea"/>
              <a:cs typeface="+mn-cs"/>
            </a:rPr>
            <a:t>All rights reserved.</a:t>
          </a:r>
          <a:endParaRPr lang="en-US"/>
        </a:p>
        <a:p>
          <a:endParaRPr lang="en-US" sz="1100" b="1" i="0">
            <a:solidFill>
              <a:schemeClr val="dk1"/>
            </a:solidFill>
            <a:latin typeface="+mn-lt"/>
            <a:ea typeface="+mn-ea"/>
            <a:cs typeface="+mn-cs"/>
          </a:endParaRPr>
        </a:p>
        <a:p>
          <a:r>
            <a:rPr lang="en-US" sz="1100" b="0" i="0">
              <a:solidFill>
                <a:schemeClr val="dk1"/>
              </a:solidFill>
              <a:latin typeface="+mn-lt"/>
              <a:ea typeface="+mn-ea"/>
              <a:cs typeface="+mn-cs"/>
            </a:rPr>
            <a:t>Redistribution and use in source and binary forms, with or without modification, are permitted provided that the following conditions are met:</a:t>
          </a:r>
          <a:endParaRPr lang="en-US"/>
        </a:p>
        <a:p>
          <a:r>
            <a:rPr lang="en-US" sz="1100" b="0" i="0">
              <a:solidFill>
                <a:schemeClr val="dk1"/>
              </a:solidFill>
              <a:latin typeface="+mn-lt"/>
              <a:ea typeface="+mn-ea"/>
              <a:cs typeface="+mn-cs"/>
            </a:rPr>
            <a:t>•Redistributions of source code must retain the above copyright notice, this list of conditions and the following disclaimer.</a:t>
          </a:r>
          <a:endParaRPr lang="en-US"/>
        </a:p>
        <a:p>
          <a:r>
            <a:rPr lang="en-US" sz="1100" b="0" i="0">
              <a:solidFill>
                <a:schemeClr val="dk1"/>
              </a:solidFill>
              <a:latin typeface="+mn-lt"/>
              <a:ea typeface="+mn-ea"/>
              <a:cs typeface="+mn-cs"/>
            </a:rPr>
            <a:t>•Redistributions in binary form must reproduce the above copyright notice, this list of conditions and the following disclaimer in the documentation and/or other materials provided with the distribution.</a:t>
          </a:r>
          <a:endParaRPr lang="en-US"/>
        </a:p>
        <a:p>
          <a:r>
            <a:rPr lang="en-US" sz="1100" b="0" i="0">
              <a:solidFill>
                <a:schemeClr val="dk1"/>
              </a:solidFill>
              <a:latin typeface="+mn-lt"/>
              <a:ea typeface="+mn-ea"/>
              <a:cs typeface="+mn-cs"/>
            </a:rPr>
            <a:t>•Neither the name of Rocky Mountain Institute  nor the names of its contributors may be used to endorse or promote products derived from this software without specific prior written permission.</a:t>
          </a:r>
          <a:endParaRPr lang="en-US"/>
        </a:p>
        <a:p>
          <a:endParaRPr lang="en-US" sz="1100" b="0" i="0">
            <a:solidFill>
              <a:schemeClr val="dk1"/>
            </a:solidFill>
            <a:latin typeface="+mn-lt"/>
            <a:ea typeface="+mn-ea"/>
            <a:cs typeface="+mn-cs"/>
          </a:endParaRPr>
        </a:p>
        <a:p>
          <a:r>
            <a:rPr lang="en-US" sz="1100" b="0" i="0">
              <a:solidFill>
                <a:schemeClr val="dk1"/>
              </a:solidFill>
              <a:latin typeface="+mn-lt"/>
              <a:ea typeface="+mn-ea"/>
              <a:cs typeface="+mn-cs"/>
            </a:rPr>
            <a:t>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a:t>
          </a:r>
          <a:endParaRPr lang="en-US"/>
        </a:p>
      </xdr:txBody>
    </xdr:sp>
    <xdr:clientData/>
  </xdr:twoCellAnchor>
  <xdr:twoCellAnchor>
    <xdr:from>
      <xdr:col>17</xdr:col>
      <xdr:colOff>28575</xdr:colOff>
      <xdr:row>1</xdr:row>
      <xdr:rowOff>19050</xdr:rowOff>
    </xdr:from>
    <xdr:to>
      <xdr:col>19</xdr:col>
      <xdr:colOff>295275</xdr:colOff>
      <xdr:row>2</xdr:row>
      <xdr:rowOff>171450</xdr:rowOff>
    </xdr:to>
    <xdr:sp macro="[0]!MainPage" textlink="">
      <xdr:nvSpPr>
        <xdr:cNvPr id="3" name="Rectangle 2"/>
        <xdr:cNvSpPr/>
      </xdr:nvSpPr>
      <xdr:spPr>
        <a:xfrm>
          <a:off x="10391775" y="209550"/>
          <a:ext cx="1485900" cy="342900"/>
        </a:xfrm>
        <a:prstGeom prst="rect">
          <a:avLst/>
        </a:prstGeom>
        <a:solidFill>
          <a:schemeClr val="bg1">
            <a:lumMod val="65000"/>
          </a:schemeClr>
        </a:solidFill>
        <a:ln>
          <a:no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n-US" sz="1100" b="1">
              <a:solidFill>
                <a:sysClr val="windowText" lastClr="000000"/>
              </a:solidFill>
            </a:rPr>
            <a:t>Back to Main Page</a:t>
          </a:r>
        </a:p>
      </xdr:txBody>
    </xdr:sp>
    <xdr:clientData/>
  </xdr:twoCellAnchor>
</xdr:wsDr>
</file>

<file path=xl/theme/theme1.xml><?xml version="1.0" encoding="utf-8"?>
<a:theme xmlns:a="http://schemas.openxmlformats.org/drawingml/2006/main" name="Larissa">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E13"/>
  <sheetViews>
    <sheetView showGridLines="0" zoomScaleNormal="100" workbookViewId="0">
      <selection activeCell="D18" sqref="D18"/>
    </sheetView>
  </sheetViews>
  <sheetFormatPr baseColWidth="10" defaultColWidth="9.140625" defaultRowHeight="12.75"/>
  <cols>
    <col min="1" max="1" width="25" style="38" bestFit="1" customWidth="1"/>
    <col min="2" max="2" width="28.5703125" style="38" customWidth="1"/>
    <col min="3" max="5" width="9" style="38" customWidth="1"/>
    <col min="6" max="6" width="9.140625" style="38" bestFit="1" customWidth="1"/>
    <col min="7" max="7" width="15.28515625" style="38" bestFit="1" customWidth="1"/>
    <col min="8" max="8" width="7.7109375" style="38" bestFit="1" customWidth="1"/>
    <col min="9" max="9" width="15.7109375" style="38" bestFit="1" customWidth="1"/>
    <col min="10" max="10" width="16.42578125" style="38" bestFit="1" customWidth="1"/>
    <col min="11" max="11" width="8.5703125" style="38" customWidth="1"/>
    <col min="12" max="12" width="12.140625" style="38" bestFit="1" customWidth="1"/>
    <col min="13" max="13" width="12.7109375" style="38" bestFit="1" customWidth="1"/>
    <col min="14" max="18" width="9.140625" style="38" customWidth="1"/>
    <col min="19" max="21" width="10.140625" style="38" customWidth="1"/>
    <col min="22" max="22" width="10.5703125" style="38" bestFit="1" customWidth="1"/>
    <col min="23" max="23" width="11.140625" style="38" bestFit="1" customWidth="1"/>
    <col min="24" max="24" width="15.42578125" style="38" bestFit="1" customWidth="1"/>
    <col min="25" max="25" width="9.140625" style="38" bestFit="1" customWidth="1"/>
    <col min="26" max="26" width="12" style="38" bestFit="1" customWidth="1"/>
    <col min="27" max="27" width="11.140625" style="38" bestFit="1" customWidth="1"/>
    <col min="28" max="28" width="13.85546875" style="38" bestFit="1" customWidth="1"/>
    <col min="29" max="29" width="9.7109375" style="38" bestFit="1" customWidth="1"/>
    <col min="30" max="30" width="9.7109375" style="38" customWidth="1"/>
    <col min="31" max="31" width="8.140625" style="38" bestFit="1" customWidth="1"/>
    <col min="32" max="16384" width="9.140625" style="38"/>
  </cols>
  <sheetData>
    <row r="1" spans="1:31">
      <c r="A1" s="127" t="s">
        <v>300</v>
      </c>
      <c r="B1" s="127"/>
      <c r="C1" s="127"/>
      <c r="D1" s="127"/>
      <c r="E1" s="127"/>
      <c r="F1" s="127"/>
      <c r="G1" s="127"/>
      <c r="H1" s="127"/>
      <c r="I1" s="127"/>
      <c r="J1" s="127"/>
      <c r="K1" s="127"/>
      <c r="L1" s="127"/>
    </row>
    <row r="2" spans="1:31">
      <c r="A2" s="127"/>
      <c r="B2" s="127"/>
      <c r="C2" s="127"/>
      <c r="D2" s="127"/>
      <c r="E2" s="127"/>
      <c r="F2" s="127"/>
      <c r="G2" s="127"/>
      <c r="H2" s="127"/>
      <c r="I2" s="127"/>
      <c r="J2" s="127"/>
      <c r="K2" s="127"/>
      <c r="L2" s="127"/>
    </row>
    <row r="3" spans="1:31">
      <c r="A3" s="127"/>
      <c r="B3" s="127"/>
      <c r="C3" s="127"/>
      <c r="D3" s="127"/>
      <c r="E3" s="127"/>
      <c r="F3" s="127"/>
      <c r="G3" s="127"/>
      <c r="H3" s="127"/>
      <c r="I3" s="127"/>
      <c r="J3" s="127"/>
      <c r="K3" s="127"/>
      <c r="L3" s="127"/>
    </row>
    <row r="6" spans="1:31">
      <c r="H6" s="128" t="s">
        <v>306</v>
      </c>
      <c r="I6" s="128"/>
      <c r="J6" s="128"/>
      <c r="K6" s="128"/>
      <c r="L6" s="128"/>
    </row>
    <row r="7" spans="1:31">
      <c r="H7" s="129" t="s">
        <v>305</v>
      </c>
      <c r="I7" s="129"/>
      <c r="J7" s="129"/>
      <c r="K7" s="129"/>
      <c r="L7" s="129"/>
    </row>
    <row r="8" spans="1:31">
      <c r="C8" s="44"/>
      <c r="D8" s="44"/>
      <c r="E8" s="44"/>
      <c r="F8" s="44"/>
      <c r="G8" s="44"/>
      <c r="H8" s="44"/>
      <c r="I8" s="44"/>
      <c r="J8" s="44"/>
      <c r="K8" s="44"/>
      <c r="L8" s="44"/>
      <c r="M8" s="44"/>
      <c r="N8" s="44"/>
      <c r="O8" s="44"/>
      <c r="P8" s="44"/>
      <c r="Q8" s="44"/>
      <c r="R8" s="44"/>
      <c r="S8" s="44"/>
      <c r="T8" s="44"/>
      <c r="U8" s="44"/>
    </row>
    <row r="9" spans="1:31" ht="27.75" customHeight="1">
      <c r="A9" s="45" t="s">
        <v>16</v>
      </c>
      <c r="B9" s="45" t="s">
        <v>66</v>
      </c>
      <c r="C9" s="45" t="s">
        <v>37</v>
      </c>
      <c r="D9" s="45" t="s">
        <v>38</v>
      </c>
      <c r="E9" s="45" t="s">
        <v>39</v>
      </c>
      <c r="F9" s="45" t="s">
        <v>58</v>
      </c>
      <c r="G9" s="45" t="s">
        <v>59</v>
      </c>
      <c r="H9" s="45" t="s">
        <v>60</v>
      </c>
      <c r="I9" s="45" t="s">
        <v>61</v>
      </c>
      <c r="J9" s="45" t="s">
        <v>323</v>
      </c>
      <c r="K9" s="45" t="s">
        <v>17</v>
      </c>
      <c r="L9" s="45" t="s">
        <v>42</v>
      </c>
      <c r="M9" s="45" t="s">
        <v>43</v>
      </c>
      <c r="N9" s="45" t="s">
        <v>28</v>
      </c>
      <c r="O9" s="45" t="s">
        <v>25</v>
      </c>
      <c r="P9" s="45" t="s">
        <v>29</v>
      </c>
      <c r="Q9" s="45" t="s">
        <v>26</v>
      </c>
      <c r="R9" s="45" t="s">
        <v>27</v>
      </c>
      <c r="S9" s="45" t="s">
        <v>30</v>
      </c>
      <c r="T9" s="45" t="s">
        <v>31</v>
      </c>
      <c r="U9" s="45" t="s">
        <v>32</v>
      </c>
      <c r="V9" s="45" t="s">
        <v>57</v>
      </c>
      <c r="W9" s="45" t="s">
        <v>322</v>
      </c>
      <c r="X9" s="45" t="s">
        <v>326</v>
      </c>
      <c r="Y9" s="45" t="s">
        <v>329</v>
      </c>
      <c r="Z9" s="45" t="s">
        <v>321</v>
      </c>
      <c r="AA9" s="45" t="s">
        <v>315</v>
      </c>
      <c r="AB9" s="45" t="s">
        <v>316</v>
      </c>
      <c r="AC9" s="45" t="s">
        <v>324</v>
      </c>
      <c r="AD9" s="45" t="s">
        <v>314</v>
      </c>
      <c r="AE9" s="45" t="s">
        <v>330</v>
      </c>
    </row>
    <row r="10" spans="1:31">
      <c r="A10" s="46" t="s">
        <v>46</v>
      </c>
      <c r="B10" s="46" t="s">
        <v>67</v>
      </c>
      <c r="C10" s="52">
        <f>(L10+IF(ISNUMBER(M10),M10,0))/K10</f>
        <v>5.0000000000000001E-4</v>
      </c>
      <c r="D10" s="52">
        <f>IF(ISNUMBER(O10),O10/N10,"N/A")</f>
        <v>2.1428571428571427E-4</v>
      </c>
      <c r="E10" s="52">
        <f>IF(ISNUMBER(Q10),Q10/P10,"N/A")</f>
        <v>7.5000000000000002E-4</v>
      </c>
      <c r="F10" s="98">
        <f>CoolingCOP(J10,V10,W10,X10,Y10,Z10,AE10)</f>
        <v>3.1832239529527691</v>
      </c>
      <c r="G10" s="51">
        <f>IF(ISNUMBER(F10),1/F10, "N/A")</f>
        <v>0.31414691984596205</v>
      </c>
      <c r="H10" s="47">
        <v>3.2</v>
      </c>
      <c r="I10" s="51">
        <f>IF(AND(ISNUMBER(H10),H10&gt;0),1/H10,"N/A")</f>
        <v>0.3125</v>
      </c>
      <c r="J10" s="48">
        <v>240000</v>
      </c>
      <c r="K10" s="48">
        <v>8000</v>
      </c>
      <c r="L10" s="49">
        <v>4</v>
      </c>
      <c r="M10" s="49">
        <v>0</v>
      </c>
      <c r="N10" s="48">
        <v>7000</v>
      </c>
      <c r="O10" s="49">
        <v>1.5</v>
      </c>
      <c r="P10" s="48">
        <v>1000</v>
      </c>
      <c r="Q10" s="49">
        <v>0.75</v>
      </c>
      <c r="R10" s="53">
        <f>L10+IF(ISNUMBER(O10),O10,0)+IF(ISNUMBER(Q10),Q10,0)+IF(ISNUMBER(M10),M10,0)</f>
        <v>6.25</v>
      </c>
      <c r="S10" s="54">
        <f>(L10+IF(ISNUMBER(M10),M10,0))/R10</f>
        <v>0.64</v>
      </c>
      <c r="T10" s="54">
        <f>IF(ISNUMBER(O10),O10/R10,0)</f>
        <v>0.24</v>
      </c>
      <c r="U10" s="54">
        <f>IF(ISNUMBER(Q10),Q10/R10,0)</f>
        <v>0.12</v>
      </c>
      <c r="V10" s="50">
        <v>10</v>
      </c>
      <c r="W10" s="50" t="s">
        <v>331</v>
      </c>
      <c r="X10" s="48" t="s">
        <v>68</v>
      </c>
      <c r="Y10" s="49" t="s">
        <v>332</v>
      </c>
      <c r="Z10" s="48">
        <v>3000</v>
      </c>
      <c r="AA10" s="92">
        <f>J10*350/12000</f>
        <v>7000</v>
      </c>
      <c r="AB10" s="49">
        <v>0.75</v>
      </c>
      <c r="AC10" s="53">
        <f>IF(AND(ISNUMBER(V10),V10&gt;0),VLOOKUP(J10,ARIExternalStatic,2),"N/A")</f>
        <v>0.4</v>
      </c>
      <c r="AD10" s="49">
        <v>0.65</v>
      </c>
      <c r="AE10" s="54">
        <f>IF(AND(ISNUMBER(V10),V10&gt;0),AA10*(AB10+AC10)/(6356*AD10),"N/A")</f>
        <v>1.9484920365977629</v>
      </c>
    </row>
    <row r="11" spans="1:31" s="39" customFormat="1">
      <c r="A11" s="96" t="s">
        <v>327</v>
      </c>
      <c r="B11" s="96" t="s">
        <v>328</v>
      </c>
      <c r="C11" s="97">
        <f>(L11+IF(ISNUMBER(M11),M11,0))/K11</f>
        <v>5.0000000000000001E-4</v>
      </c>
      <c r="D11" s="97">
        <f>IF(ISNUMBER(O11),O11/N11,"N/A")</f>
        <v>2.1428571428571427E-4</v>
      </c>
      <c r="E11" s="97">
        <f>IF(ISNUMBER(Q11),Q11/P11,"N/A")</f>
        <v>7.5000000000000002E-4</v>
      </c>
      <c r="F11" s="98">
        <f>CoolingCOP(J11,V11,W11,X11,Y11,Z11,AE11)</f>
        <v>3.1831743639057097</v>
      </c>
      <c r="G11" s="99">
        <f>IF(ISNUMBER(F11),1/F11, "N/A")</f>
        <v>0.31415181378032153</v>
      </c>
      <c r="H11" s="100">
        <v>3.2</v>
      </c>
      <c r="I11" s="99">
        <f>IF(AND(ISNUMBER(H11),H11&gt;0),1/H11,"N/A")</f>
        <v>0.3125</v>
      </c>
      <c r="J11" s="101">
        <v>240000</v>
      </c>
      <c r="K11" s="101">
        <v>8000</v>
      </c>
      <c r="L11" s="102">
        <v>4</v>
      </c>
      <c r="M11" s="102" t="s">
        <v>68</v>
      </c>
      <c r="N11" s="101">
        <v>7000</v>
      </c>
      <c r="O11" s="102">
        <v>1.5</v>
      </c>
      <c r="P11" s="101">
        <v>1000</v>
      </c>
      <c r="Q11" s="102">
        <v>0.75</v>
      </c>
      <c r="R11" s="103">
        <f>L11+IF(ISNUMBER(O11),O11,0)+IF(ISNUMBER(Q11),Q11,0)+IF(ISNUMBER(M11),M11,0)</f>
        <v>6.25</v>
      </c>
      <c r="S11" s="104">
        <f>(L11+IF(ISNUMBER(M11),M11,0))/R11</f>
        <v>0.64</v>
      </c>
      <c r="T11" s="104">
        <f>IF(ISNUMBER(O11),O11/R11,0)</f>
        <v>0.24</v>
      </c>
      <c r="U11" s="104">
        <f>IF(ISNUMBER(Q11),Q11/R11,0)</f>
        <v>0.12</v>
      </c>
      <c r="V11" s="105">
        <v>10</v>
      </c>
      <c r="W11" s="105" t="s">
        <v>325</v>
      </c>
      <c r="X11" s="101">
        <v>244958</v>
      </c>
      <c r="Y11" s="49" t="s">
        <v>291</v>
      </c>
      <c r="Z11" s="101" t="s">
        <v>68</v>
      </c>
      <c r="AA11" s="101" t="s">
        <v>68</v>
      </c>
      <c r="AB11" s="101" t="s">
        <v>68</v>
      </c>
      <c r="AC11" s="103">
        <f>IF(AND(ISNUMBER(V11),V11&gt;0),VLOOKUP(J11,ARIExternalStatic,2),"N/A")</f>
        <v>0.4</v>
      </c>
      <c r="AD11" s="101" t="s">
        <v>68</v>
      </c>
      <c r="AE11" s="104" t="str">
        <f>IF(Y11="YES",AA11*(AB11+AC11)/(6356*AD11),"N/A")</f>
        <v>N/A</v>
      </c>
    </row>
    <row r="13" spans="1:31">
      <c r="F13" s="106"/>
    </row>
  </sheetData>
  <mergeCells count="3">
    <mergeCell ref="A1:L3"/>
    <mergeCell ref="H6:L6"/>
    <mergeCell ref="H7:L7"/>
  </mergeCells>
  <dataValidations count="1">
    <dataValidation type="list" showInputMessage="1" showErrorMessage="1" sqref="Y10:Y11">
      <formula1>"DIRECT, CFM+STATIC"</formula1>
    </dataValidation>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O29"/>
  <sheetViews>
    <sheetView workbookViewId="0">
      <selection activeCell="I11" sqref="I11"/>
    </sheetView>
  </sheetViews>
  <sheetFormatPr baseColWidth="10" defaultRowHeight="15"/>
  <cols>
    <col min="1" max="256" width="9.140625" customWidth="1"/>
  </cols>
  <sheetData>
    <row r="1" spans="1:15">
      <c r="H1" t="s">
        <v>335</v>
      </c>
    </row>
    <row r="2" spans="1:15">
      <c r="J2" t="s">
        <v>333</v>
      </c>
      <c r="L2" t="s">
        <v>338</v>
      </c>
      <c r="O2" t="s">
        <v>336</v>
      </c>
    </row>
    <row r="3" spans="1:15">
      <c r="I3" t="s">
        <v>334</v>
      </c>
      <c r="J3">
        <v>0.52</v>
      </c>
      <c r="L3">
        <f>J3*wg_kPa</f>
        <v>0.12948000000000001</v>
      </c>
      <c r="O3">
        <f>J3*wg_Pa</f>
        <v>129.48000000000002</v>
      </c>
    </row>
    <row r="4" spans="1:15">
      <c r="I4" t="s">
        <v>344</v>
      </c>
      <c r="J4">
        <v>0.5</v>
      </c>
      <c r="L4">
        <f>J4*wg_kPa</f>
        <v>0.1245</v>
      </c>
      <c r="O4">
        <f>J4*wg_Pa</f>
        <v>124.5</v>
      </c>
    </row>
    <row r="6" spans="1:15" ht="18">
      <c r="A6" s="115" t="s">
        <v>351</v>
      </c>
    </row>
    <row r="7" spans="1:15">
      <c r="A7" s="116"/>
    </row>
    <row r="8" spans="1:15">
      <c r="A8" s="115" t="s">
        <v>352</v>
      </c>
    </row>
    <row r="9" spans="1:15">
      <c r="A9" s="116"/>
    </row>
    <row r="10" spans="1:15" ht="18">
      <c r="A10" s="115" t="s">
        <v>353</v>
      </c>
    </row>
    <row r="11" spans="1:15">
      <c r="A11" s="116"/>
    </row>
    <row r="12" spans="1:15">
      <c r="A12" s="115" t="s">
        <v>354</v>
      </c>
    </row>
    <row r="13" spans="1:15">
      <c r="A13" s="116"/>
    </row>
    <row r="14" spans="1:15" ht="17.25">
      <c r="A14" s="115" t="s">
        <v>355</v>
      </c>
    </row>
    <row r="15" spans="1:15">
      <c r="A15" s="116"/>
    </row>
    <row r="16" spans="1:15">
      <c r="A16" s="115" t="s">
        <v>356</v>
      </c>
      <c r="B16" s="112"/>
      <c r="C16" s="112"/>
      <c r="D16" s="112"/>
      <c r="E16" s="112"/>
      <c r="F16" s="112"/>
    </row>
    <row r="17" spans="1:6" ht="18">
      <c r="A17" s="117" t="s">
        <v>357</v>
      </c>
    </row>
    <row r="18" spans="1:6">
      <c r="A18" t="s">
        <v>358</v>
      </c>
      <c r="F18" s="108"/>
    </row>
    <row r="19" spans="1:6">
      <c r="F19" s="108"/>
    </row>
    <row r="23" spans="1:6">
      <c r="D23" t="s">
        <v>367</v>
      </c>
    </row>
    <row r="24" spans="1:6">
      <c r="D24" t="s">
        <v>337</v>
      </c>
      <c r="E24">
        <f xml:space="preserve"> 0.249</f>
        <v>0.249</v>
      </c>
      <c r="F24" t="s">
        <v>338</v>
      </c>
    </row>
    <row r="25" spans="1:6">
      <c r="D25" t="s">
        <v>337</v>
      </c>
      <c r="E25">
        <f xml:space="preserve"> 0.249 * 1000</f>
        <v>249</v>
      </c>
      <c r="F25" t="s">
        <v>336</v>
      </c>
    </row>
    <row r="26" spans="1:6">
      <c r="D26" t="s">
        <v>340</v>
      </c>
      <c r="E26">
        <f>3600</f>
        <v>3600</v>
      </c>
      <c r="F26" t="s">
        <v>341</v>
      </c>
    </row>
    <row r="27" spans="1:6">
      <c r="D27" t="s">
        <v>339</v>
      </c>
      <c r="E27">
        <v>3412.1419999999998</v>
      </c>
      <c r="F27" t="s">
        <v>342</v>
      </c>
    </row>
    <row r="28" spans="1:6">
      <c r="D28" t="s">
        <v>341</v>
      </c>
      <c r="E28">
        <v>0.58899999999999997</v>
      </c>
      <c r="F28" t="s">
        <v>343</v>
      </c>
    </row>
    <row r="29" spans="1:6">
      <c r="D29" t="s">
        <v>368</v>
      </c>
      <c r="E29">
        <v>0.74569987199999999</v>
      </c>
      <c r="F29" t="s">
        <v>339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pageSetUpPr fitToPage="1"/>
  </sheetPr>
  <dimension ref="A1:V49"/>
  <sheetViews>
    <sheetView zoomScaleNormal="100" workbookViewId="0">
      <selection activeCell="A12" sqref="A12:D17"/>
    </sheetView>
  </sheetViews>
  <sheetFormatPr baseColWidth="10" defaultRowHeight="15"/>
  <cols>
    <col min="1" max="1" width="11.7109375" customWidth="1"/>
    <col min="2" max="3" width="10.5703125" customWidth="1"/>
    <col min="4" max="4" width="11.140625" customWidth="1"/>
    <col min="5" max="5" width="9.28515625" customWidth="1"/>
    <col min="6" max="17" width="10.42578125" customWidth="1"/>
    <col min="18" max="18" width="7.85546875" customWidth="1"/>
    <col min="19" max="19" width="8.140625" customWidth="1"/>
    <col min="20" max="21" width="10.140625" customWidth="1"/>
    <col min="22" max="22" width="9.140625" customWidth="1"/>
    <col min="23" max="23" width="10.42578125" customWidth="1"/>
    <col min="24" max="256" width="9.140625" customWidth="1"/>
  </cols>
  <sheetData>
    <row r="1" spans="1:18">
      <c r="A1" s="118" t="s">
        <v>366</v>
      </c>
    </row>
    <row r="2" spans="1:18">
      <c r="A2" s="120" t="s">
        <v>386</v>
      </c>
    </row>
    <row r="3" spans="1:18">
      <c r="A3" s="120" t="s">
        <v>387</v>
      </c>
    </row>
    <row r="4" spans="1:18">
      <c r="A4" s="120" t="s">
        <v>388</v>
      </c>
    </row>
    <row r="5" spans="1:18">
      <c r="A5" s="120" t="s">
        <v>389</v>
      </c>
    </row>
    <row r="6" spans="1:18">
      <c r="A6" s="120"/>
    </row>
    <row r="7" spans="1:18">
      <c r="A7" t="s">
        <v>362</v>
      </c>
    </row>
    <row r="8" spans="1:18">
      <c r="A8" t="s">
        <v>363</v>
      </c>
    </row>
    <row r="9" spans="1:18">
      <c r="A9" t="s">
        <v>364</v>
      </c>
    </row>
    <row r="10" spans="1:18" s="126" customFormat="1" ht="60">
      <c r="A10" s="126" t="s">
        <v>384</v>
      </c>
      <c r="B10" s="126" t="s">
        <v>385</v>
      </c>
      <c r="C10" s="126" t="s">
        <v>385</v>
      </c>
      <c r="D10" s="126" t="s">
        <v>385</v>
      </c>
      <c r="E10" s="126" t="s">
        <v>382</v>
      </c>
      <c r="F10" s="126" t="s">
        <v>360</v>
      </c>
      <c r="G10" s="126" t="s">
        <v>365</v>
      </c>
      <c r="H10" s="126" t="s">
        <v>383</v>
      </c>
      <c r="I10" s="126" t="s">
        <v>346</v>
      </c>
      <c r="J10" s="126" t="s">
        <v>347</v>
      </c>
      <c r="K10" s="126" t="s">
        <v>348</v>
      </c>
      <c r="L10" s="126" t="s">
        <v>350</v>
      </c>
      <c r="M10" s="126" t="s">
        <v>314</v>
      </c>
      <c r="N10" s="126" t="s">
        <v>369</v>
      </c>
      <c r="O10" s="126" t="s">
        <v>370</v>
      </c>
    </row>
    <row r="11" spans="1:18" s="122" customFormat="1" ht="15.75" thickBot="1">
      <c r="A11" s="122" t="s">
        <v>361</v>
      </c>
      <c r="B11" s="122" t="s">
        <v>340</v>
      </c>
      <c r="C11" s="122" t="s">
        <v>341</v>
      </c>
      <c r="D11" s="122" t="s">
        <v>343</v>
      </c>
      <c r="E11" s="122" t="s">
        <v>345</v>
      </c>
      <c r="F11" s="122" t="s">
        <v>345</v>
      </c>
      <c r="G11" s="122" t="s">
        <v>339</v>
      </c>
      <c r="H11" s="122" t="s">
        <v>361</v>
      </c>
      <c r="I11" s="122" t="s">
        <v>339</v>
      </c>
      <c r="J11" s="122" t="s">
        <v>339</v>
      </c>
      <c r="K11" s="122" t="s">
        <v>349</v>
      </c>
      <c r="L11" s="122" t="s">
        <v>349</v>
      </c>
      <c r="M11" s="122" t="s">
        <v>349</v>
      </c>
      <c r="N11" s="122" t="s">
        <v>336</v>
      </c>
      <c r="O11" s="122" t="s">
        <v>336</v>
      </c>
    </row>
    <row r="12" spans="1:18">
      <c r="A12" t="s">
        <v>391</v>
      </c>
      <c r="B12">
        <v>0.35</v>
      </c>
      <c r="C12" s="108">
        <f>B12*m3s_m3h</f>
        <v>1260</v>
      </c>
      <c r="D12" s="108">
        <f>C12*m3h_cfm</f>
        <v>742.14</v>
      </c>
      <c r="E12" s="125">
        <v>1.6708980876301138</v>
      </c>
      <c r="F12" s="124">
        <v>9.8301972876301136</v>
      </c>
      <c r="G12" s="124">
        <v>8.1936616498011894</v>
      </c>
      <c r="H12" s="107">
        <v>0.5</v>
      </c>
      <c r="I12" s="107">
        <f>H12*G12</f>
        <v>4.0968308249005947</v>
      </c>
      <c r="J12" s="107">
        <f>(1-H12)*G12</f>
        <v>4.0968308249005947</v>
      </c>
      <c r="K12" s="113">
        <v>0.89500000000000002</v>
      </c>
      <c r="L12" s="113">
        <v>0.7</v>
      </c>
      <c r="M12" s="119">
        <f>L12/K12</f>
        <v>0.78212290502793291</v>
      </c>
      <c r="N12" s="107">
        <f>I12*L12/B12 * 1000</f>
        <v>8193.6616498011899</v>
      </c>
      <c r="O12" s="107">
        <f>J12*L12/B12 * 1000</f>
        <v>8193.6616498011899</v>
      </c>
      <c r="R12" t="str">
        <f>CONCATENATE(,TEXT(D12,"0")," cfm ",TEXT(E25,"0")," Btu/hr")</f>
        <v>742 cfm 264898 Btu/hr</v>
      </c>
    </row>
    <row r="13" spans="1:18">
      <c r="A13" t="s">
        <v>392</v>
      </c>
      <c r="B13">
        <v>0.56000000000000005</v>
      </c>
      <c r="C13" s="108">
        <f>B13*m3s_m3h</f>
        <v>2016.0000000000002</v>
      </c>
      <c r="D13" s="108">
        <f>C13*m3h_cfm</f>
        <v>1187.424</v>
      </c>
      <c r="E13" s="125">
        <v>1.0035100459937061</v>
      </c>
      <c r="F13" s="124">
        <v>10.430808445993705</v>
      </c>
      <c r="G13" s="124">
        <v>8.550970440342093</v>
      </c>
      <c r="H13" s="107">
        <v>0.5</v>
      </c>
      <c r="I13" s="107">
        <f>H13*G13</f>
        <v>4.2754852201710465</v>
      </c>
      <c r="J13" s="107">
        <f>(1-H13)*G13</f>
        <v>4.2754852201710465</v>
      </c>
      <c r="K13" s="113">
        <v>0.91</v>
      </c>
      <c r="L13" s="113">
        <v>0.7</v>
      </c>
      <c r="M13" s="119">
        <f>L13/K13</f>
        <v>0.76923076923076916</v>
      </c>
      <c r="N13" s="107">
        <f>I13*L13/B13 * 1000</f>
        <v>5344.3565252138069</v>
      </c>
      <c r="O13" s="107">
        <f>J13*L13/B13 * 1000</f>
        <v>5344.3565252138069</v>
      </c>
      <c r="R13" t="str">
        <f>CONCATENATE(,TEXT(D13,"0")," cfm ",TEXT(E26,"0")," Btu/hr")</f>
        <v>1187 cfm 331206 Btu/hr</v>
      </c>
    </row>
    <row r="14" spans="1:18">
      <c r="A14" t="s">
        <v>371</v>
      </c>
      <c r="B14">
        <v>0.55000000000000004</v>
      </c>
      <c r="C14" s="108">
        <f>B14*m3s_m3h</f>
        <v>1980.0000000000002</v>
      </c>
      <c r="D14" s="108">
        <f>C14*m3h_cfm</f>
        <v>1166.22</v>
      </c>
      <c r="E14" s="125">
        <v>1.0291696925683853</v>
      </c>
      <c r="F14" s="124">
        <v>10.539163692568383</v>
      </c>
      <c r="G14" s="124">
        <v>8.6397979281934205</v>
      </c>
      <c r="H14" s="107">
        <v>0.5</v>
      </c>
      <c r="I14" s="107">
        <f>H14*G14</f>
        <v>4.3198989640967103</v>
      </c>
      <c r="J14" s="107">
        <f>(1-H14)*G14</f>
        <v>4.3198989640967103</v>
      </c>
      <c r="K14" s="113">
        <v>0.91</v>
      </c>
      <c r="L14" s="113">
        <v>0.7</v>
      </c>
      <c r="M14" s="119">
        <f>L14/K14</f>
        <v>0.76923076923076916</v>
      </c>
      <c r="N14" s="107">
        <f>I14*L14/B14 * 1000</f>
        <v>5498.0532270321755</v>
      </c>
      <c r="O14" s="107">
        <f>J14*L14/B14 * 1000</f>
        <v>5498.0532270321755</v>
      </c>
      <c r="R14" t="str">
        <f>CONCATENATE(,TEXT(D14,"0")," cfm ",TEXT(E27,"0")," Btu/hr")</f>
        <v>1166 cfm 339447 Btu/hr</v>
      </c>
    </row>
    <row r="15" spans="1:18">
      <c r="A15" t="s">
        <v>372</v>
      </c>
      <c r="B15">
        <v>0.56000000000000005</v>
      </c>
      <c r="C15" s="108">
        <f>B15*m3s_m3h</f>
        <v>2016.0000000000002</v>
      </c>
      <c r="D15" s="108">
        <f>C15*m3h_cfm</f>
        <v>1187.424</v>
      </c>
      <c r="E15" s="125">
        <v>1.2421931735657226</v>
      </c>
      <c r="F15" s="124">
        <v>12.461229573565722</v>
      </c>
      <c r="G15" s="124">
        <v>10.215469518549483</v>
      </c>
      <c r="H15" s="107">
        <v>0.5</v>
      </c>
      <c r="I15" s="107">
        <f>H15*G15</f>
        <v>5.1077347592747415</v>
      </c>
      <c r="J15" s="107">
        <f>(1-H15)*G15</f>
        <v>5.1077347592747415</v>
      </c>
      <c r="K15" s="113">
        <v>0.91</v>
      </c>
      <c r="L15" s="113">
        <v>0.7</v>
      </c>
      <c r="M15" s="119">
        <f>L15/K15</f>
        <v>0.76923076923076916</v>
      </c>
      <c r="N15" s="107">
        <f>I15*L15/B15 * 1000</f>
        <v>6384.6684490934258</v>
      </c>
      <c r="O15" s="107">
        <f>J15*L15/B15 * 1000</f>
        <v>6384.6684490934258</v>
      </c>
      <c r="R15" t="str">
        <f>CONCATENATE(,TEXT(D15,"0")," cfm ",TEXT(E28,"0")," Btu/hr")</f>
        <v>1187 cfm 398088 Btu/hr</v>
      </c>
    </row>
    <row r="16" spans="1:18">
      <c r="A16" t="s">
        <v>373</v>
      </c>
      <c r="B16">
        <v>0.56000000000000005</v>
      </c>
      <c r="C16" s="108">
        <f>B16*m3s_m3h</f>
        <v>2016.0000000000002</v>
      </c>
      <c r="D16" s="108">
        <f>C16*m3h_cfm</f>
        <v>1187.424</v>
      </c>
      <c r="E16" s="125"/>
      <c r="F16" s="124"/>
      <c r="G16" s="124"/>
      <c r="H16" s="107"/>
      <c r="I16" s="107"/>
      <c r="J16" s="107"/>
      <c r="K16" s="113"/>
      <c r="L16" s="113"/>
      <c r="M16" s="119"/>
      <c r="N16" s="107"/>
      <c r="O16" s="107"/>
    </row>
    <row r="17" spans="1:15">
      <c r="A17" t="s">
        <v>374</v>
      </c>
      <c r="B17">
        <v>0.45</v>
      </c>
      <c r="C17" s="108">
        <f>B17*m3s_m3h</f>
        <v>1620</v>
      </c>
      <c r="D17" s="108">
        <f>C17*m3h_cfm</f>
        <v>954.18</v>
      </c>
      <c r="E17" s="125"/>
      <c r="F17" s="124"/>
      <c r="G17" s="124"/>
      <c r="H17" s="107"/>
      <c r="I17" s="107"/>
      <c r="J17" s="107"/>
      <c r="K17" s="113"/>
      <c r="L17" s="113"/>
      <c r="M17" s="119"/>
      <c r="N17" s="107"/>
      <c r="O17" s="107"/>
    </row>
    <row r="18" spans="1:15">
      <c r="C18" s="108"/>
      <c r="D18" s="108"/>
      <c r="E18" s="125"/>
      <c r="F18" s="124"/>
      <c r="G18" s="124"/>
      <c r="H18" s="107"/>
      <c r="I18" s="107"/>
      <c r="J18" s="107"/>
      <c r="K18" s="113"/>
      <c r="L18" s="113"/>
      <c r="M18" s="119"/>
      <c r="N18" s="107"/>
      <c r="O18" s="107"/>
    </row>
    <row r="19" spans="1:15">
      <c r="C19" s="108"/>
      <c r="D19" s="108"/>
      <c r="E19" s="125"/>
      <c r="F19" s="124"/>
      <c r="G19" s="124"/>
      <c r="H19" s="107"/>
      <c r="I19" s="107"/>
      <c r="J19" s="107"/>
      <c r="K19" s="113"/>
      <c r="L19" s="113"/>
      <c r="M19" s="119"/>
      <c r="N19" s="107"/>
      <c r="O19" s="107"/>
    </row>
    <row r="22" spans="1:15">
      <c r="A22" t="s">
        <v>390</v>
      </c>
    </row>
    <row r="23" spans="1:15" ht="30">
      <c r="A23" s="126" t="s">
        <v>384</v>
      </c>
      <c r="B23" s="121" t="s">
        <v>359</v>
      </c>
      <c r="C23" s="121" t="s">
        <v>375</v>
      </c>
      <c r="D23" s="121" t="s">
        <v>375</v>
      </c>
      <c r="E23" s="121" t="s">
        <v>375</v>
      </c>
      <c r="F23" s="121" t="s">
        <v>381</v>
      </c>
      <c r="G23" s="121" t="s">
        <v>381</v>
      </c>
    </row>
    <row r="24" spans="1:15" ht="15.75" thickBot="1">
      <c r="A24" s="122" t="s">
        <v>361</v>
      </c>
      <c r="B24" s="122" t="s">
        <v>361</v>
      </c>
      <c r="C24" s="122" t="s">
        <v>376</v>
      </c>
      <c r="D24" s="122" t="s">
        <v>339</v>
      </c>
      <c r="E24" s="122" t="s">
        <v>342</v>
      </c>
      <c r="F24" s="122" t="s">
        <v>376</v>
      </c>
      <c r="G24" s="122" t="s">
        <v>339</v>
      </c>
    </row>
    <row r="25" spans="1:15">
      <c r="A25" t="s">
        <v>371</v>
      </c>
      <c r="B25" t="s">
        <v>371</v>
      </c>
      <c r="C25" s="123">
        <v>77633.81</v>
      </c>
      <c r="D25" s="123">
        <f>C25/1000</f>
        <v>77.633809999999997</v>
      </c>
      <c r="E25" s="107">
        <f>C25/1000*kW_btuh</f>
        <v>264897.58372101997</v>
      </c>
      <c r="F25">
        <v>31405.040000000001</v>
      </c>
      <c r="G25" s="107">
        <f>F25/1000</f>
        <v>31.40504</v>
      </c>
    </row>
    <row r="26" spans="1:15">
      <c r="A26" t="s">
        <v>372</v>
      </c>
      <c r="B26" t="s">
        <v>372</v>
      </c>
      <c r="C26" s="123">
        <v>97066.880000000005</v>
      </c>
      <c r="D26" s="123">
        <f>C26/1000</f>
        <v>97.066879999999998</v>
      </c>
      <c r="E26" s="107">
        <f>C26/1000*kW_btuh</f>
        <v>331205.97805695998</v>
      </c>
      <c r="F26">
        <v>39266.25</v>
      </c>
      <c r="G26" s="107">
        <f>F26/1000</f>
        <v>39.266249999999999</v>
      </c>
    </row>
    <row r="27" spans="1:15">
      <c r="A27" t="s">
        <v>373</v>
      </c>
      <c r="B27" t="s">
        <v>373</v>
      </c>
      <c r="C27" s="123">
        <v>99482.2</v>
      </c>
      <c r="D27" s="123">
        <f>C27/1000</f>
        <v>99.482199999999992</v>
      </c>
      <c r="E27" s="107">
        <f>C27/1000*kW_btuh</f>
        <v>339447.39287239994</v>
      </c>
      <c r="F27">
        <v>40243.32</v>
      </c>
      <c r="G27" s="107">
        <f>F27/1000</f>
        <v>40.243319999999997</v>
      </c>
    </row>
    <row r="28" spans="1:15">
      <c r="A28" t="s">
        <v>374</v>
      </c>
      <c r="B28" t="s">
        <v>374</v>
      </c>
      <c r="C28" s="123">
        <v>116668.21</v>
      </c>
      <c r="D28" s="123">
        <f>C28/1000</f>
        <v>116.66821</v>
      </c>
      <c r="E28" s="107">
        <f>C28/1000*kW_btuh</f>
        <v>398088.49940581998</v>
      </c>
      <c r="F28">
        <v>48608.08</v>
      </c>
      <c r="G28" s="107">
        <f>F28/1000</f>
        <v>48.608080000000001</v>
      </c>
    </row>
    <row r="46" spans="7:22" s="112" customFormat="1" ht="409.6"/>
    <row r="48" spans="7:22" ht="409.6">
      <c r="G48" s="108"/>
      <c r="H48" s="108"/>
      <c r="I48" s="108"/>
      <c r="J48" s="108"/>
      <c r="K48" s="108"/>
      <c r="L48" s="108"/>
      <c r="M48" s="108"/>
      <c r="N48" s="108"/>
      <c r="O48" s="108"/>
      <c r="P48" s="108"/>
      <c r="Q48" s="108"/>
      <c r="R48" s="107"/>
      <c r="S48" s="107"/>
      <c r="T48" s="113"/>
      <c r="U48" s="113"/>
      <c r="V48" s="114"/>
    </row>
    <row r="49" spans="7:22">
      <c r="G49" s="108"/>
      <c r="H49" s="108"/>
      <c r="I49" s="108"/>
      <c r="J49" s="108"/>
      <c r="K49" s="108"/>
      <c r="L49" s="108"/>
      <c r="M49" s="108"/>
      <c r="N49" s="108"/>
      <c r="O49" s="108"/>
      <c r="P49" s="108"/>
      <c r="Q49" s="108"/>
      <c r="R49" s="107"/>
      <c r="S49" s="107"/>
      <c r="T49" s="113"/>
      <c r="U49" s="113"/>
      <c r="V49" s="114"/>
    </row>
  </sheetData>
  <pageMargins left="0.7" right="0.7" top="0.75" bottom="0.75" header="0.3" footer="0.3"/>
  <pageSetup paperSize="8" fitToHeight="0"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BT20"/>
  <sheetViews>
    <sheetView showGridLines="0" tabSelected="1" topLeftCell="E1" zoomScaleNormal="100" workbookViewId="0">
      <selection activeCell="S12" sqref="S12"/>
    </sheetView>
  </sheetViews>
  <sheetFormatPr baseColWidth="10" defaultColWidth="9.140625" defaultRowHeight="12.75"/>
  <cols>
    <col min="1" max="1" width="25" style="38" customWidth="1"/>
    <col min="2" max="2" width="28.5703125" style="38" customWidth="1"/>
    <col min="3" max="3" width="22.85546875" style="38" bestFit="1" customWidth="1"/>
    <col min="4" max="4" width="14.42578125" style="38" bestFit="1" customWidth="1"/>
    <col min="5" max="8" width="10" style="38" customWidth="1"/>
    <col min="9" max="9" width="16" style="38" bestFit="1" customWidth="1"/>
    <col min="10" max="10" width="10" style="38" customWidth="1"/>
    <col min="11" max="11" width="15.7109375" style="38" bestFit="1" customWidth="1"/>
    <col min="12" max="12" width="15.5703125" style="38" bestFit="1" customWidth="1"/>
    <col min="13" max="15" width="9.140625" style="38" customWidth="1"/>
    <col min="16" max="18" width="9.7109375" style="38" bestFit="1" customWidth="1"/>
    <col min="19" max="21" width="14.28515625" style="38" customWidth="1"/>
    <col min="22" max="22" width="6.5703125" style="38" bestFit="1" customWidth="1"/>
    <col min="23" max="23" width="8.42578125" style="38" bestFit="1" customWidth="1"/>
    <col min="24" max="24" width="6" style="38" customWidth="1"/>
    <col min="25" max="25" width="8" style="38" customWidth="1"/>
    <col min="26" max="26" width="14.42578125" style="38" bestFit="1" customWidth="1"/>
    <col min="27" max="27" width="9.140625" style="38" customWidth="1"/>
    <col min="28" max="28" width="8.85546875" style="38" bestFit="1" customWidth="1"/>
    <col min="29" max="29" width="8.140625" style="38" bestFit="1" customWidth="1"/>
    <col min="30" max="30" width="10.7109375" style="38" bestFit="1" customWidth="1"/>
    <col min="31" max="31" width="9.140625" style="38" customWidth="1"/>
    <col min="32" max="32" width="8.85546875" style="38" bestFit="1" customWidth="1"/>
    <col min="33" max="33" width="8.140625" style="38" bestFit="1" customWidth="1"/>
    <col min="34" max="34" width="10.7109375" style="38" bestFit="1" customWidth="1"/>
    <col min="35" max="35" width="9.140625" style="38" customWidth="1"/>
    <col min="36" max="36" width="8.85546875" style="38" bestFit="1" customWidth="1"/>
    <col min="37" max="37" width="8.140625" style="38" bestFit="1" customWidth="1"/>
    <col min="38" max="38" width="10.7109375" style="38" bestFit="1" customWidth="1"/>
    <col min="39" max="39" width="9.140625" style="38" customWidth="1"/>
    <col min="40" max="40" width="8.85546875" style="38" bestFit="1" customWidth="1"/>
    <col min="41" max="41" width="8.140625" style="38" bestFit="1" customWidth="1"/>
    <col min="42" max="42" width="10.7109375" style="38" bestFit="1" customWidth="1"/>
    <col min="43" max="43" width="9.140625" style="38" customWidth="1"/>
    <col min="44" max="44" width="8.85546875" style="38" bestFit="1" customWidth="1"/>
    <col min="45" max="45" width="8.140625" style="38" bestFit="1" customWidth="1"/>
    <col min="46" max="46" width="10.7109375" style="38" bestFit="1" customWidth="1"/>
    <col min="47" max="47" width="9.140625" style="38" customWidth="1"/>
    <col min="48" max="48" width="8.85546875" style="38" bestFit="1" customWidth="1"/>
    <col min="49" max="49" width="8.140625" style="38" bestFit="1" customWidth="1"/>
    <col min="50" max="50" width="10.7109375" style="38" bestFit="1" customWidth="1"/>
    <col min="51" max="51" width="9.140625" style="38" customWidth="1"/>
    <col min="52" max="52" width="8.85546875" style="38" bestFit="1" customWidth="1"/>
    <col min="53" max="53" width="8.140625" style="38" bestFit="1" customWidth="1"/>
    <col min="54" max="54" width="10.7109375" style="38" bestFit="1" customWidth="1"/>
    <col min="55" max="55" width="9.140625" style="38" customWidth="1"/>
    <col min="56" max="56" width="8.85546875" style="38" bestFit="1" customWidth="1"/>
    <col min="57" max="57" width="8.140625" style="38" bestFit="1" customWidth="1"/>
    <col min="58" max="58" width="10.7109375" style="38" bestFit="1" customWidth="1"/>
    <col min="59" max="59" width="9.140625" style="38" customWidth="1"/>
    <col min="60" max="60" width="8.85546875" style="38" bestFit="1" customWidth="1"/>
    <col min="61" max="61" width="8.140625" style="38" bestFit="1" customWidth="1"/>
    <col min="62" max="62" width="10.7109375" style="38" bestFit="1" customWidth="1"/>
    <col min="63" max="63" width="9.140625" style="38" customWidth="1"/>
    <col min="64" max="64" width="8.85546875" style="38" bestFit="1" customWidth="1"/>
    <col min="65" max="65" width="8.140625" style="38" bestFit="1" customWidth="1"/>
    <col min="66" max="66" width="10.7109375" style="38" bestFit="1" customWidth="1"/>
    <col min="67" max="67" width="9.140625" style="38" customWidth="1"/>
    <col min="68" max="68" width="8.85546875" style="38" bestFit="1" customWidth="1"/>
    <col min="69" max="69" width="8.140625" style="38" bestFit="1" customWidth="1"/>
    <col min="70" max="70" width="10.7109375" style="38" bestFit="1" customWidth="1"/>
    <col min="71" max="71" width="9.140625" style="38" customWidth="1"/>
    <col min="72" max="72" width="14.140625" style="38" bestFit="1" customWidth="1"/>
    <col min="73" max="16384" width="9.140625" style="38"/>
  </cols>
  <sheetData>
    <row r="1" spans="1:72">
      <c r="A1" s="127" t="s">
        <v>299</v>
      </c>
      <c r="B1" s="127"/>
      <c r="C1" s="127"/>
      <c r="D1" s="127"/>
      <c r="E1" s="127"/>
      <c r="F1" s="127"/>
      <c r="G1" s="127"/>
      <c r="H1" s="127"/>
      <c r="I1" s="127"/>
      <c r="J1" s="127"/>
    </row>
    <row r="2" spans="1:72">
      <c r="A2" s="127"/>
      <c r="B2" s="127"/>
      <c r="C2" s="127"/>
      <c r="D2" s="127"/>
      <c r="E2" s="127"/>
      <c r="F2" s="127"/>
      <c r="G2" s="127"/>
      <c r="H2" s="127"/>
      <c r="I2" s="127"/>
      <c r="J2" s="127"/>
    </row>
    <row r="3" spans="1:72">
      <c r="A3" s="127"/>
      <c r="B3" s="127"/>
      <c r="C3" s="127"/>
      <c r="D3" s="127"/>
      <c r="E3" s="127"/>
      <c r="F3" s="127"/>
      <c r="G3" s="127"/>
      <c r="H3" s="127"/>
      <c r="I3" s="127"/>
      <c r="J3" s="127"/>
    </row>
    <row r="6" spans="1:72">
      <c r="F6" s="128" t="s">
        <v>306</v>
      </c>
      <c r="G6" s="128"/>
      <c r="H6" s="128"/>
      <c r="I6" s="128"/>
      <c r="J6" s="128"/>
    </row>
    <row r="7" spans="1:72">
      <c r="F7" s="129" t="s">
        <v>305</v>
      </c>
      <c r="G7" s="129"/>
      <c r="H7" s="129"/>
      <c r="I7" s="129"/>
      <c r="J7" s="129"/>
    </row>
    <row r="8" spans="1:72">
      <c r="C8" s="44"/>
      <c r="D8" s="44"/>
      <c r="E8" s="44"/>
      <c r="F8" s="44"/>
      <c r="G8" s="44"/>
      <c r="H8" s="44"/>
      <c r="J8" s="44"/>
      <c r="K8" s="44"/>
      <c r="L8" s="44"/>
      <c r="M8" s="44"/>
      <c r="N8" s="44"/>
      <c r="O8" s="44"/>
      <c r="P8" s="44"/>
      <c r="Q8" s="44"/>
      <c r="R8" s="44"/>
      <c r="S8" s="44"/>
      <c r="T8" s="44"/>
      <c r="U8" s="44"/>
      <c r="V8" s="44"/>
      <c r="W8" s="44"/>
      <c r="X8" s="44"/>
      <c r="Y8" s="44"/>
      <c r="Z8" s="44"/>
      <c r="AB8" s="130" t="s">
        <v>15</v>
      </c>
      <c r="AC8" s="130"/>
      <c r="AD8" s="130"/>
      <c r="AE8" s="130"/>
      <c r="AF8" s="130" t="s">
        <v>5</v>
      </c>
      <c r="AG8" s="130"/>
      <c r="AH8" s="130"/>
      <c r="AI8" s="130"/>
      <c r="AJ8" s="130" t="s">
        <v>18</v>
      </c>
      <c r="AK8" s="130"/>
      <c r="AL8" s="130"/>
      <c r="AM8" s="130"/>
      <c r="AN8" s="130" t="s">
        <v>1</v>
      </c>
      <c r="AO8" s="130"/>
      <c r="AP8" s="130"/>
      <c r="AQ8" s="130"/>
      <c r="AR8" s="130" t="s">
        <v>4</v>
      </c>
      <c r="AS8" s="130"/>
      <c r="AT8" s="130"/>
      <c r="AU8" s="130"/>
      <c r="AV8" s="130" t="s">
        <v>19</v>
      </c>
      <c r="AW8" s="130"/>
      <c r="AX8" s="130"/>
      <c r="AY8" s="130"/>
      <c r="AZ8" s="130" t="s">
        <v>20</v>
      </c>
      <c r="BA8" s="130"/>
      <c r="BB8" s="130"/>
      <c r="BC8" s="130"/>
      <c r="BD8" s="130" t="s">
        <v>21</v>
      </c>
      <c r="BE8" s="130"/>
      <c r="BF8" s="130"/>
      <c r="BG8" s="130"/>
      <c r="BH8" s="130" t="s">
        <v>22</v>
      </c>
      <c r="BI8" s="130"/>
      <c r="BJ8" s="130"/>
      <c r="BK8" s="130"/>
      <c r="BL8" s="130" t="s">
        <v>23</v>
      </c>
      <c r="BM8" s="130"/>
      <c r="BN8" s="130"/>
      <c r="BO8" s="130"/>
      <c r="BP8" s="130" t="s">
        <v>24</v>
      </c>
      <c r="BQ8" s="130"/>
      <c r="BR8" s="130"/>
      <c r="BS8" s="130"/>
    </row>
    <row r="9" spans="1:72" ht="25.5">
      <c r="A9" s="45" t="s">
        <v>16</v>
      </c>
      <c r="B9" s="45" t="s">
        <v>173</v>
      </c>
      <c r="C9" s="45" t="s">
        <v>292</v>
      </c>
      <c r="D9" s="45" t="s">
        <v>301</v>
      </c>
      <c r="E9" s="45" t="s">
        <v>37</v>
      </c>
      <c r="F9" s="45" t="s">
        <v>38</v>
      </c>
      <c r="G9" s="45" t="s">
        <v>39</v>
      </c>
      <c r="H9" s="45" t="s">
        <v>58</v>
      </c>
      <c r="I9" s="45" t="s">
        <v>62</v>
      </c>
      <c r="J9" s="45" t="s">
        <v>60</v>
      </c>
      <c r="K9" s="45" t="s">
        <v>63</v>
      </c>
      <c r="L9" s="45" t="s">
        <v>174</v>
      </c>
      <c r="M9" s="45" t="s">
        <v>17</v>
      </c>
      <c r="N9" s="45" t="s">
        <v>28</v>
      </c>
      <c r="O9" s="45" t="s">
        <v>29</v>
      </c>
      <c r="P9" s="45" t="s">
        <v>30</v>
      </c>
      <c r="Q9" s="45" t="s">
        <v>31</v>
      </c>
      <c r="R9" s="45" t="s">
        <v>32</v>
      </c>
      <c r="S9" s="45" t="s">
        <v>8</v>
      </c>
      <c r="T9" s="45" t="s">
        <v>9</v>
      </c>
      <c r="U9" s="45" t="s">
        <v>10</v>
      </c>
      <c r="V9" s="45" t="s">
        <v>0</v>
      </c>
      <c r="W9" s="45" t="s">
        <v>7</v>
      </c>
      <c r="X9" s="45" t="s">
        <v>52</v>
      </c>
      <c r="Y9" s="45" t="s">
        <v>318</v>
      </c>
      <c r="Z9" s="45" t="s">
        <v>317</v>
      </c>
      <c r="AA9" s="45" t="s">
        <v>44</v>
      </c>
      <c r="AB9" s="45" t="s">
        <v>14</v>
      </c>
      <c r="AC9" s="45" t="s">
        <v>12</v>
      </c>
      <c r="AD9" s="45" t="s">
        <v>11</v>
      </c>
      <c r="AE9" s="45" t="s">
        <v>13</v>
      </c>
      <c r="AF9" s="45" t="s">
        <v>14</v>
      </c>
      <c r="AG9" s="45" t="s">
        <v>12</v>
      </c>
      <c r="AH9" s="45" t="s">
        <v>11</v>
      </c>
      <c r="AI9" s="45" t="s">
        <v>13</v>
      </c>
      <c r="AJ9" s="45" t="s">
        <v>14</v>
      </c>
      <c r="AK9" s="45" t="s">
        <v>12</v>
      </c>
      <c r="AL9" s="45" t="s">
        <v>11</v>
      </c>
      <c r="AM9" s="45" t="s">
        <v>13</v>
      </c>
      <c r="AN9" s="45" t="s">
        <v>14</v>
      </c>
      <c r="AO9" s="45" t="s">
        <v>12</v>
      </c>
      <c r="AP9" s="45" t="s">
        <v>11</v>
      </c>
      <c r="AQ9" s="45" t="s">
        <v>13</v>
      </c>
      <c r="AR9" s="45" t="s">
        <v>14</v>
      </c>
      <c r="AS9" s="45" t="s">
        <v>12</v>
      </c>
      <c r="AT9" s="45" t="s">
        <v>11</v>
      </c>
      <c r="AU9" s="45" t="s">
        <v>13</v>
      </c>
      <c r="AV9" s="45" t="s">
        <v>14</v>
      </c>
      <c r="AW9" s="45" t="s">
        <v>12</v>
      </c>
      <c r="AX9" s="45" t="s">
        <v>11</v>
      </c>
      <c r="AY9" s="45" t="s">
        <v>13</v>
      </c>
      <c r="AZ9" s="45" t="s">
        <v>14</v>
      </c>
      <c r="BA9" s="45" t="s">
        <v>12</v>
      </c>
      <c r="BB9" s="45" t="s">
        <v>11</v>
      </c>
      <c r="BC9" s="45" t="s">
        <v>13</v>
      </c>
      <c r="BD9" s="45" t="s">
        <v>14</v>
      </c>
      <c r="BE9" s="45" t="s">
        <v>12</v>
      </c>
      <c r="BF9" s="45" t="s">
        <v>11</v>
      </c>
      <c r="BG9" s="45" t="s">
        <v>13</v>
      </c>
      <c r="BH9" s="45" t="s">
        <v>14</v>
      </c>
      <c r="BI9" s="45" t="s">
        <v>12</v>
      </c>
      <c r="BJ9" s="45" t="s">
        <v>11</v>
      </c>
      <c r="BK9" s="45" t="s">
        <v>13</v>
      </c>
      <c r="BL9" s="45" t="s">
        <v>14</v>
      </c>
      <c r="BM9" s="45" t="s">
        <v>12</v>
      </c>
      <c r="BN9" s="45" t="s">
        <v>11</v>
      </c>
      <c r="BO9" s="45" t="s">
        <v>13</v>
      </c>
      <c r="BP9" s="45" t="s">
        <v>14</v>
      </c>
      <c r="BQ9" s="45" t="s">
        <v>12</v>
      </c>
      <c r="BR9" s="45" t="s">
        <v>11</v>
      </c>
      <c r="BS9" s="45" t="s">
        <v>13</v>
      </c>
      <c r="BT9" s="45" t="s">
        <v>9</v>
      </c>
    </row>
    <row r="10" spans="1:72">
      <c r="A10" s="41" t="s">
        <v>46</v>
      </c>
      <c r="B10" s="41" t="s">
        <v>67</v>
      </c>
      <c r="C10" s="41" t="s">
        <v>40</v>
      </c>
      <c r="D10" s="41" t="s">
        <v>51</v>
      </c>
      <c r="E10" s="65">
        <f>P10*W10/M10</f>
        <v>7.5173516334459838E-4</v>
      </c>
      <c r="F10" s="65">
        <f>Q10*W10/N10</f>
        <v>0</v>
      </c>
      <c r="G10" s="79">
        <f>IF(O10=0,0,R10*W10/O10)</f>
        <v>1.0612731717806094E-3</v>
      </c>
      <c r="H10" s="66">
        <f>IF(AA10&lt;7,(1+(Y10+Z10)/55.615)/(3.413/X10-(Y10+Z10)/55.615),"N/A")</f>
        <v>3.1730042810375223</v>
      </c>
      <c r="I10" s="67">
        <f>IF(AA10&lt;7,1/H10,"N/A")</f>
        <v>0.31515873015873014</v>
      </c>
      <c r="J10" s="68" t="str">
        <f>BaseCOP(C10,L10)</f>
        <v>N/A</v>
      </c>
      <c r="K10" s="67" t="str">
        <f>IF(OR(AA10=2,AA10=4),1/J10,"N/A")</f>
        <v>N/A</v>
      </c>
      <c r="L10" s="60">
        <v>240000</v>
      </c>
      <c r="M10" s="61">
        <v>8000</v>
      </c>
      <c r="N10" s="69">
        <f>M10-O10</f>
        <v>7000</v>
      </c>
      <c r="O10" s="61">
        <v>1000</v>
      </c>
      <c r="P10" s="62">
        <v>0.85</v>
      </c>
      <c r="Q10" s="63">
        <v>0</v>
      </c>
      <c r="R10" s="63">
        <v>0.15</v>
      </c>
      <c r="S10" s="70">
        <f>BaseBHP(M10,AA10)</f>
        <v>7.52</v>
      </c>
      <c r="T10" s="94">
        <f>IF(AA10&gt;2,BT10,"N/A")</f>
        <v>0.96828854998789637</v>
      </c>
      <c r="U10" s="70">
        <f>IF(AA10&gt;2,S10+T10,"N/A")</f>
        <v>8.4882885499878959</v>
      </c>
      <c r="V10" s="71">
        <f>IF(AA10&gt;2,LOOKUP(U10,MotorHpEff),"N/A")</f>
        <v>0.89500000000000002</v>
      </c>
      <c r="W10" s="70">
        <f>IF(AA10&gt;2,0.746*U10/V10,M10*0.0003)</f>
        <v>7.0751544785373968</v>
      </c>
      <c r="X10" s="72">
        <f>BaseEER(C10,D10,L10)</f>
        <v>9.8000000000000007</v>
      </c>
      <c r="Y10" s="63">
        <v>1</v>
      </c>
      <c r="Z10" s="72">
        <f>IF(AND(ISNUMBER(X10),X10&gt;0),VLOOKUP(L10,ARIExternalStatic,2),"N/A")</f>
        <v>0.4</v>
      </c>
      <c r="AA10" s="73">
        <f>INT(LEFT(C10,1))</f>
        <v>3</v>
      </c>
      <c r="AB10" s="64" t="b">
        <v>1</v>
      </c>
      <c r="AC10" s="40">
        <v>0.5</v>
      </c>
      <c r="AD10" s="41">
        <v>8000</v>
      </c>
      <c r="AE10" s="40">
        <f>IF(AB10,1,0)*AC10*AD10/4131</f>
        <v>0.96828854998789637</v>
      </c>
      <c r="AF10" s="64" t="b">
        <v>0</v>
      </c>
      <c r="AG10" s="40">
        <v>0.5</v>
      </c>
      <c r="AH10" s="41">
        <v>0</v>
      </c>
      <c r="AI10" s="40">
        <f>IF(AF10,1,0)*AG10*AH10/4131</f>
        <v>0</v>
      </c>
      <c r="AJ10" s="64" t="b">
        <v>0</v>
      </c>
      <c r="AK10" s="41">
        <v>0</v>
      </c>
      <c r="AL10" s="41">
        <v>0</v>
      </c>
      <c r="AM10" s="40">
        <f>IF(AJ10,1,0)*AK10*AL10/4131</f>
        <v>0</v>
      </c>
      <c r="AN10" s="64" t="b">
        <v>0</v>
      </c>
      <c r="AO10" s="40">
        <v>0.5</v>
      </c>
      <c r="AP10" s="41">
        <v>0</v>
      </c>
      <c r="AQ10" s="40">
        <f>IF(AN10,1,0)*AO10*AP10/4131</f>
        <v>0</v>
      </c>
      <c r="AR10" s="64" t="b">
        <v>0</v>
      </c>
      <c r="AS10" s="40">
        <v>0.9</v>
      </c>
      <c r="AT10" s="41">
        <v>0</v>
      </c>
      <c r="AU10" s="40">
        <f>IF(AR10,1,0)*AS10*AT10/4131</f>
        <v>0</v>
      </c>
      <c r="AV10" s="64" t="b">
        <v>0</v>
      </c>
      <c r="AW10" s="41">
        <v>0</v>
      </c>
      <c r="AX10" s="41">
        <v>0</v>
      </c>
      <c r="AY10" s="40">
        <f>IF(AV10,1,0)*2*AW10*AX10/4131</f>
        <v>0</v>
      </c>
      <c r="AZ10" s="64" t="b">
        <v>0</v>
      </c>
      <c r="BA10" s="41">
        <v>0</v>
      </c>
      <c r="BB10" s="41">
        <v>0</v>
      </c>
      <c r="BC10" s="40">
        <f>IF(AZ10,1,0)*BA10*BB10/4131</f>
        <v>0</v>
      </c>
      <c r="BD10" s="64" t="b">
        <v>0</v>
      </c>
      <c r="BE10" s="41">
        <v>0</v>
      </c>
      <c r="BF10" s="41">
        <v>0</v>
      </c>
      <c r="BG10" s="40">
        <f>IF(BD10,1,0)*BE10*BF10/4131</f>
        <v>0</v>
      </c>
      <c r="BH10" s="64" t="b">
        <v>0</v>
      </c>
      <c r="BI10" s="41">
        <v>0</v>
      </c>
      <c r="BJ10" s="41">
        <v>0</v>
      </c>
      <c r="BK10" s="40">
        <f>IF(BH10,1,0)*BI10*BJ10/4131</f>
        <v>0</v>
      </c>
      <c r="BL10" s="64" t="b">
        <v>0</v>
      </c>
      <c r="BM10" s="40">
        <v>0.15</v>
      </c>
      <c r="BN10" s="41">
        <v>0</v>
      </c>
      <c r="BO10" s="40">
        <f>IF(BL10,1,0)*BM10*BN10/4131</f>
        <v>0</v>
      </c>
      <c r="BP10" s="64" t="b">
        <v>0</v>
      </c>
      <c r="BQ10" s="40">
        <v>-1</v>
      </c>
      <c r="BR10" s="41">
        <v>0</v>
      </c>
      <c r="BS10" s="40">
        <f>IF(BP10,1,0)*BQ10*BR10/4131</f>
        <v>0</v>
      </c>
      <c r="BT10" s="40">
        <f>SUM(BS10,BO10,BK10,BG10,BC10,AY10,AU10,AQ10,AM10,AI10,AE10)</f>
        <v>0.96828854998789637</v>
      </c>
    </row>
    <row r="11" spans="1:72" s="39" customFormat="1">
      <c r="A11" s="42" t="s">
        <v>391</v>
      </c>
      <c r="B11" s="42" t="s">
        <v>377</v>
      </c>
      <c r="C11" s="42" t="s">
        <v>36</v>
      </c>
      <c r="D11" s="42" t="s">
        <v>50</v>
      </c>
      <c r="E11" s="79">
        <f>P11*W11/M11</f>
        <v>1.0580041278876642E-3</v>
      </c>
      <c r="F11" s="79" t="e">
        <f>Q11*W11/N11</f>
        <v>#DIV/0!</v>
      </c>
      <c r="G11" s="79">
        <f>IF(O11=0,0,R11*W11/O11)</f>
        <v>0</v>
      </c>
      <c r="H11" s="93" t="str">
        <f>IF(AA11&lt;7,(1+(Y11+Z11)/55.615)/(3.413/X11-(Y11+Z11)/55.615),"N/A")</f>
        <v>N/A</v>
      </c>
      <c r="I11" s="80" t="str">
        <f>IF(AA11&lt;7,1/H11,"N/A")</f>
        <v>N/A</v>
      </c>
      <c r="J11" s="81" t="str">
        <f>BaseCOP(C11,L11)</f>
        <v>N/A</v>
      </c>
      <c r="K11" s="80" t="str">
        <f>IF(OR(AA11=2,AA11=4),1/J11,"N/A")</f>
        <v>N/A</v>
      </c>
      <c r="L11" s="82">
        <v>264898</v>
      </c>
      <c r="M11" s="83">
        <v>742</v>
      </c>
      <c r="N11" s="84">
        <f>M11-O11</f>
        <v>0</v>
      </c>
      <c r="O11" s="83">
        <v>742</v>
      </c>
      <c r="P11" s="85">
        <v>0.5</v>
      </c>
      <c r="Q11" s="86">
        <v>0.5</v>
      </c>
      <c r="R11" s="86">
        <v>0</v>
      </c>
      <c r="S11" s="87">
        <f>BaseBHP(M11,AA11)</f>
        <v>0.9645999999999999</v>
      </c>
      <c r="T11" s="95">
        <f>IF(AA11&gt;2,BT11,"N/A")</f>
        <v>0.80331638828370855</v>
      </c>
      <c r="U11" s="87">
        <f>IF(AA11&gt;2,S11+T11,"N/A")</f>
        <v>1.7679163882837083</v>
      </c>
      <c r="V11" s="71">
        <f>IF(AA11&gt;2,LOOKUP(U11,MotorHpEff),"N/A")</f>
        <v>0.84</v>
      </c>
      <c r="W11" s="87">
        <f>IF(AA11&gt;2,0.746*U11/V11,M11*0.0003)</f>
        <v>1.5700781257852936</v>
      </c>
      <c r="X11" s="88" t="str">
        <f>BaseEER(C11,D11,L11)</f>
        <v>N/A</v>
      </c>
      <c r="Y11" s="86">
        <v>1</v>
      </c>
      <c r="Z11" s="88" t="str">
        <f>IF(AND(ISNUMBER(X11),X11&gt;0),VLOOKUP(L11,ARIExternalStatic,2),"N/A")</f>
        <v>N/A</v>
      </c>
      <c r="AA11" s="89">
        <f>INT(LEFT(C11,1))</f>
        <v>8</v>
      </c>
      <c r="AB11" s="64" t="b">
        <v>1</v>
      </c>
      <c r="AC11" s="40">
        <v>0.5</v>
      </c>
      <c r="AD11" s="41">
        <v>6637</v>
      </c>
      <c r="AE11" s="40">
        <f>IF(AB11,1,0)*AC11*AD11/4131</f>
        <v>0.80331638828370855</v>
      </c>
      <c r="AF11" s="64" t="b">
        <v>0</v>
      </c>
      <c r="AG11" s="40">
        <v>0.5</v>
      </c>
      <c r="AH11" s="41">
        <v>0</v>
      </c>
      <c r="AI11" s="40">
        <f>IF(AF11,1,0)*AG11*AH11/4131</f>
        <v>0</v>
      </c>
      <c r="AJ11" s="64" t="b">
        <v>0</v>
      </c>
      <c r="AK11" s="41">
        <v>0</v>
      </c>
      <c r="AL11" s="41">
        <v>0</v>
      </c>
      <c r="AM11" s="40">
        <f>IF(AJ11,1,0)*AK11*AL11/4131</f>
        <v>0</v>
      </c>
      <c r="AN11" s="64" t="b">
        <v>0</v>
      </c>
      <c r="AO11" s="40">
        <v>0.5</v>
      </c>
      <c r="AP11" s="41">
        <v>0</v>
      </c>
      <c r="AQ11" s="40">
        <f>IF(AN11,1,0)*AO11*AP11/4131</f>
        <v>0</v>
      </c>
      <c r="AR11" s="64" t="b">
        <v>1</v>
      </c>
      <c r="AS11" s="40">
        <v>0.9</v>
      </c>
      <c r="AT11" s="41">
        <v>0</v>
      </c>
      <c r="AU11" s="40">
        <f>IF(AR11,1,0)*AS11*AT11/4131</f>
        <v>0</v>
      </c>
      <c r="AV11" s="64" t="b">
        <v>0</v>
      </c>
      <c r="AW11" s="41">
        <v>0</v>
      </c>
      <c r="AX11" s="41">
        <v>0</v>
      </c>
      <c r="AY11" s="40">
        <f>IF(AV11,1,0)*2*AW11*AX11/4131</f>
        <v>0</v>
      </c>
      <c r="AZ11" s="64" t="b">
        <v>0</v>
      </c>
      <c r="BA11" s="41">
        <v>0</v>
      </c>
      <c r="BB11" s="41">
        <v>0</v>
      </c>
      <c r="BC11" s="40">
        <f>IF(AZ11,1,0)*BA11*BB11/4131</f>
        <v>0</v>
      </c>
      <c r="BD11" s="64" t="b">
        <v>0</v>
      </c>
      <c r="BE11" s="41">
        <v>0.54</v>
      </c>
      <c r="BF11" s="41">
        <v>6637</v>
      </c>
      <c r="BG11" s="40">
        <f>IF(BD11,1,0)*BE11*BF11/4131</f>
        <v>0</v>
      </c>
      <c r="BH11" s="64" t="b">
        <v>0</v>
      </c>
      <c r="BI11" s="41">
        <v>0</v>
      </c>
      <c r="BJ11" s="41">
        <v>0</v>
      </c>
      <c r="BK11" s="40">
        <f>IF(BH11,1,0)*BI11*BJ11/4131</f>
        <v>0</v>
      </c>
      <c r="BL11" s="64" t="b">
        <v>0</v>
      </c>
      <c r="BM11" s="40">
        <v>0.15</v>
      </c>
      <c r="BN11" s="41">
        <v>0</v>
      </c>
      <c r="BO11" s="40">
        <f>IF(BL11,1,0)*BM11*BN11/4131</f>
        <v>0</v>
      </c>
      <c r="BP11" s="64" t="b">
        <v>0</v>
      </c>
      <c r="BQ11" s="40">
        <v>-1</v>
      </c>
      <c r="BR11" s="41">
        <v>0</v>
      </c>
      <c r="BS11" s="40">
        <f>IF(BP11,1,0)*BQ11*BR11/4131</f>
        <v>0</v>
      </c>
      <c r="BT11" s="40">
        <f>SUM(BS11,BO11,BK11,BG11,BC11,AY11,AU11,AQ11,AM11,AI11,AE11)</f>
        <v>0.80331638828370855</v>
      </c>
    </row>
    <row r="12" spans="1:72" s="39" customFormat="1">
      <c r="A12" s="42" t="s">
        <v>392</v>
      </c>
      <c r="B12" s="42" t="s">
        <v>378</v>
      </c>
      <c r="C12" s="42" t="s">
        <v>36</v>
      </c>
      <c r="D12" s="42" t="s">
        <v>50</v>
      </c>
      <c r="E12" s="79">
        <f>P12*W12/M12</f>
        <v>9.1456064234507375E-4</v>
      </c>
      <c r="F12" s="79" t="e">
        <f>Q12*W12/N12</f>
        <v>#DIV/0!</v>
      </c>
      <c r="G12" s="79">
        <f>IF(O12=0,0,R12*W12/O12)</f>
        <v>0</v>
      </c>
      <c r="H12" s="93" t="str">
        <f>IF(AA12&lt;7,(1+(Y12+Z12)/55.615)/(3.413/X12-(Y12+Z12)/55.615),"N/A")</f>
        <v>N/A</v>
      </c>
      <c r="I12" s="80" t="str">
        <f>IF(AA12&lt;7,1/H12,"N/A")</f>
        <v>N/A</v>
      </c>
      <c r="J12" s="81" t="str">
        <f>BaseCOP(C12,L12)</f>
        <v>N/A</v>
      </c>
      <c r="K12" s="80" t="str">
        <f>IF(OR(AA12=2,AA12=4),1/J12,"N/A")</f>
        <v>N/A</v>
      </c>
      <c r="L12" s="82">
        <v>408157</v>
      </c>
      <c r="M12" s="83">
        <v>1187</v>
      </c>
      <c r="N12" s="84">
        <f>M12-O12</f>
        <v>0</v>
      </c>
      <c r="O12" s="83">
        <v>1187</v>
      </c>
      <c r="P12" s="85">
        <v>0.5</v>
      </c>
      <c r="Q12" s="86">
        <v>0.5</v>
      </c>
      <c r="R12" s="86">
        <v>0</v>
      </c>
      <c r="S12" s="87">
        <f>BaseBHP(M12,AA12)</f>
        <v>1.5430999999999999</v>
      </c>
      <c r="T12" s="95">
        <f>IF(AA12&gt;2,BT12,"N/A")</f>
        <v>1.0035100459937061</v>
      </c>
      <c r="U12" s="87">
        <f>IF(AA12&gt;2,S12+T12,"N/A")</f>
        <v>2.546610045993706</v>
      </c>
      <c r="V12" s="109">
        <f>IF(AA12&gt;2,LOOKUP(U12,MotorHpEff),"N/A")</f>
        <v>0.875</v>
      </c>
      <c r="W12" s="87">
        <f>IF(AA12&gt;2,0.746*U12/V12,M12*0.0003)</f>
        <v>2.1711669649272052</v>
      </c>
      <c r="X12" s="88" t="str">
        <f>BaseEER(C12,D12,L12)</f>
        <v>N/A</v>
      </c>
      <c r="Y12" s="86">
        <v>1</v>
      </c>
      <c r="Z12" s="88" t="str">
        <f>IF(AND(ISNUMBER(X12),X12&gt;0),VLOOKUP(L12,ARIExternalStatic,2),"N/A")</f>
        <v>N/A</v>
      </c>
      <c r="AA12" s="89">
        <f>INT(LEFT(C12,1))</f>
        <v>8</v>
      </c>
      <c r="AB12" s="110" t="b">
        <v>1</v>
      </c>
      <c r="AC12" s="111">
        <v>0.5</v>
      </c>
      <c r="AD12" s="42">
        <v>8291</v>
      </c>
      <c r="AE12" s="111">
        <f>IF(AB12,1,0)*AC12*AD12/4131</f>
        <v>1.0035100459937061</v>
      </c>
      <c r="AF12" s="110" t="b">
        <v>0</v>
      </c>
      <c r="AG12" s="111">
        <v>0.5</v>
      </c>
      <c r="AH12" s="42">
        <v>0</v>
      </c>
      <c r="AI12" s="111">
        <f>IF(AF12,1,0)*AG12*AH12/4131</f>
        <v>0</v>
      </c>
      <c r="AJ12" s="110" t="b">
        <v>0</v>
      </c>
      <c r="AK12" s="42">
        <v>0</v>
      </c>
      <c r="AL12" s="42">
        <v>0</v>
      </c>
      <c r="AM12" s="111">
        <f>IF(AJ12,1,0)*AK12*AL12/4131</f>
        <v>0</v>
      </c>
      <c r="AN12" s="110" t="b">
        <v>0</v>
      </c>
      <c r="AO12" s="111">
        <v>0.5</v>
      </c>
      <c r="AP12" s="42">
        <v>0</v>
      </c>
      <c r="AQ12" s="111">
        <f>IF(AN12,1,0)*AO12*AP12/4131</f>
        <v>0</v>
      </c>
      <c r="AR12" s="110" t="b">
        <v>1</v>
      </c>
      <c r="AS12" s="111">
        <v>0.9</v>
      </c>
      <c r="AT12" s="42">
        <v>0</v>
      </c>
      <c r="AU12" s="111">
        <f>IF(AR12,1,0)*AS12*AT12/4131</f>
        <v>0</v>
      </c>
      <c r="AV12" s="110" t="b">
        <v>0</v>
      </c>
      <c r="AW12" s="42">
        <v>0</v>
      </c>
      <c r="AX12" s="42">
        <v>0</v>
      </c>
      <c r="AY12" s="111">
        <f>IF(AV12,1,0)*2*AW12*AX12/4131</f>
        <v>0</v>
      </c>
      <c r="AZ12" s="110" t="b">
        <v>0</v>
      </c>
      <c r="BA12" s="42">
        <v>0</v>
      </c>
      <c r="BB12" s="42">
        <v>0</v>
      </c>
      <c r="BC12" s="111">
        <f>IF(AZ12,1,0)*BA12*BB12/4131</f>
        <v>0</v>
      </c>
      <c r="BD12" s="110" t="b">
        <v>0</v>
      </c>
      <c r="BE12" s="42"/>
      <c r="BF12" s="42"/>
      <c r="BG12" s="111">
        <f>IF(BD12,1,0)*BE12*BF12/4131</f>
        <v>0</v>
      </c>
      <c r="BH12" s="110" t="b">
        <v>0</v>
      </c>
      <c r="BI12" s="42">
        <v>0</v>
      </c>
      <c r="BJ12" s="42">
        <v>0</v>
      </c>
      <c r="BK12" s="111">
        <f>IF(BH12,1,0)*BI12*BJ12/4131</f>
        <v>0</v>
      </c>
      <c r="BL12" s="110" t="b">
        <v>0</v>
      </c>
      <c r="BM12" s="111">
        <v>0.15</v>
      </c>
      <c r="BN12" s="42">
        <v>0</v>
      </c>
      <c r="BO12" s="111">
        <f>IF(BL12,1,0)*BM12*BN12/4131</f>
        <v>0</v>
      </c>
      <c r="BP12" s="110" t="b">
        <v>0</v>
      </c>
      <c r="BQ12" s="111">
        <v>-1</v>
      </c>
      <c r="BR12" s="42">
        <v>0</v>
      </c>
      <c r="BS12" s="111">
        <f>IF(BP12,1,0)*BQ12*BR12/4131</f>
        <v>0</v>
      </c>
      <c r="BT12" s="111">
        <f>SUM(BS12,BO12,BK12,BG12,BC12,AY12,AU12,AQ12,AM12,AI12,AE12)</f>
        <v>1.0035100459937061</v>
      </c>
    </row>
    <row r="13" spans="1:72" s="39" customFormat="1">
      <c r="A13" s="42" t="s">
        <v>371</v>
      </c>
      <c r="B13" s="42" t="s">
        <v>379</v>
      </c>
      <c r="C13" s="42" t="s">
        <v>36</v>
      </c>
      <c r="D13" s="42" t="s">
        <v>50</v>
      </c>
      <c r="E13" s="79">
        <f>P13*W13/M13</f>
        <v>9.3043243844940723E-4</v>
      </c>
      <c r="F13" s="79" t="e">
        <f>Q13*W13/N13</f>
        <v>#DIV/0!</v>
      </c>
      <c r="G13" s="79">
        <f>IF(O13=0,0,R13*W13/O13)</f>
        <v>0</v>
      </c>
      <c r="H13" s="93" t="str">
        <f>IF(AA13&lt;7,(1+(Y13+Z13)/55.615)/(3.413/X13-(Y13+Z13)/55.615),"N/A")</f>
        <v>N/A</v>
      </c>
      <c r="I13" s="80" t="str">
        <f>IF(AA13&lt;7,1/H13,"N/A")</f>
        <v>N/A</v>
      </c>
      <c r="J13" s="81" t="str">
        <f>BaseCOP(C13,L13)</f>
        <v>N/A</v>
      </c>
      <c r="K13" s="80" t="str">
        <f>IF(OR(AA13=2,AA13=4),1/J13,"N/A")</f>
        <v>N/A</v>
      </c>
      <c r="L13" s="82">
        <v>441829</v>
      </c>
      <c r="M13" s="83">
        <v>1166</v>
      </c>
      <c r="N13" s="84">
        <f>M13-O13</f>
        <v>0</v>
      </c>
      <c r="O13" s="83">
        <v>1166</v>
      </c>
      <c r="P13" s="85">
        <v>0.5</v>
      </c>
      <c r="Q13" s="86">
        <v>0.5</v>
      </c>
      <c r="R13" s="86">
        <v>0</v>
      </c>
      <c r="S13" s="87">
        <f>BaseBHP(M13,AA13)</f>
        <v>1.5158</v>
      </c>
      <c r="T13" s="95">
        <f>IF(AA13&gt;2,BT13,"N/A")</f>
        <v>1.0291696925683853</v>
      </c>
      <c r="U13" s="87">
        <f>IF(AA13&gt;2,S13+T13,"N/A")</f>
        <v>2.5449696925683853</v>
      </c>
      <c r="V13" s="109">
        <f>IF(AA13&gt;2,LOOKUP(U13,MotorHpEff),"N/A")</f>
        <v>0.875</v>
      </c>
      <c r="W13" s="87">
        <f>IF(AA13&gt;2,0.746*U13/V13,M13*0.0003)</f>
        <v>2.1697684464640177</v>
      </c>
      <c r="X13" s="88" t="str">
        <f>BaseEER(C13,D13,L13)</f>
        <v>N/A</v>
      </c>
      <c r="Y13" s="86">
        <v>1</v>
      </c>
      <c r="Z13" s="88" t="str">
        <f>IF(AND(ISNUMBER(X13),X13&gt;0),VLOOKUP(L13,ARIExternalStatic,2),"N/A")</f>
        <v>N/A</v>
      </c>
      <c r="AA13" s="89">
        <f>INT(LEFT(C13,1))</f>
        <v>8</v>
      </c>
      <c r="AB13" s="110" t="b">
        <v>1</v>
      </c>
      <c r="AC13" s="111">
        <v>0.5</v>
      </c>
      <c r="AD13" s="42">
        <v>8503</v>
      </c>
      <c r="AE13" s="111">
        <f>IF(AB13,1,0)*AC13*AD13/4131</f>
        <v>1.0291696925683853</v>
      </c>
      <c r="AF13" s="110" t="b">
        <v>0</v>
      </c>
      <c r="AG13" s="111">
        <v>0.5</v>
      </c>
      <c r="AH13" s="42">
        <v>0</v>
      </c>
      <c r="AI13" s="111">
        <f>IF(AF13,1,0)*AG13*AH13/4131</f>
        <v>0</v>
      </c>
      <c r="AJ13" s="110" t="b">
        <v>0</v>
      </c>
      <c r="AK13" s="42">
        <v>0</v>
      </c>
      <c r="AL13" s="42">
        <v>0</v>
      </c>
      <c r="AM13" s="111">
        <f>IF(AJ13,1,0)*AK13*AL13/4131</f>
        <v>0</v>
      </c>
      <c r="AN13" s="110" t="b">
        <v>0</v>
      </c>
      <c r="AO13" s="111">
        <v>0.5</v>
      </c>
      <c r="AP13" s="42">
        <v>0</v>
      </c>
      <c r="AQ13" s="111">
        <f>IF(AN13,1,0)*AO13*AP13/4131</f>
        <v>0</v>
      </c>
      <c r="AR13" s="110" t="b">
        <v>0</v>
      </c>
      <c r="AS13" s="111">
        <v>0.9</v>
      </c>
      <c r="AT13" s="42">
        <v>0</v>
      </c>
      <c r="AU13" s="111">
        <f>IF(AR13,1,0)*AS13*AT13/4131</f>
        <v>0</v>
      </c>
      <c r="AV13" s="110" t="b">
        <v>0</v>
      </c>
      <c r="AW13" s="42">
        <v>0</v>
      </c>
      <c r="AX13" s="42">
        <v>0</v>
      </c>
      <c r="AY13" s="111">
        <f>IF(AV13,1,0)*2*AW13*AX13/4131</f>
        <v>0</v>
      </c>
      <c r="AZ13" s="110" t="b">
        <v>0</v>
      </c>
      <c r="BA13" s="42">
        <v>0</v>
      </c>
      <c r="BB13" s="42">
        <v>0</v>
      </c>
      <c r="BC13" s="111">
        <f>IF(AZ13,1,0)*BA13*BB13/4131</f>
        <v>0</v>
      </c>
      <c r="BD13" s="110" t="b">
        <v>0</v>
      </c>
      <c r="BE13" s="42">
        <v>0.54</v>
      </c>
      <c r="BF13" s="42">
        <v>8503</v>
      </c>
      <c r="BG13" s="111">
        <f>IF(BD13,1,0)*BE13*BF13/4131</f>
        <v>0</v>
      </c>
      <c r="BH13" s="110" t="b">
        <v>0</v>
      </c>
      <c r="BI13" s="42">
        <v>0</v>
      </c>
      <c r="BJ13" s="42">
        <v>0</v>
      </c>
      <c r="BK13" s="111">
        <f>IF(BH13,1,0)*BI13*BJ13/4131</f>
        <v>0</v>
      </c>
      <c r="BL13" s="110" t="b">
        <v>0</v>
      </c>
      <c r="BM13" s="111">
        <v>0.15</v>
      </c>
      <c r="BN13" s="42">
        <v>0</v>
      </c>
      <c r="BO13" s="111">
        <f>IF(BL13,1,0)*BM13*BN13/4131</f>
        <v>0</v>
      </c>
      <c r="BP13" s="110" t="b">
        <v>0</v>
      </c>
      <c r="BQ13" s="111">
        <v>-1</v>
      </c>
      <c r="BR13" s="42">
        <v>0</v>
      </c>
      <c r="BS13" s="111">
        <f>IF(BP13,1,0)*BQ13*BR13/4131</f>
        <v>0</v>
      </c>
      <c r="BT13" s="111">
        <f>SUM(BS13,BO13,BK13,BG13,BC13,AY13,AU13,AQ13,AM13,AI13,AE13)</f>
        <v>1.0291696925683853</v>
      </c>
    </row>
    <row r="14" spans="1:72" s="39" customFormat="1">
      <c r="A14" s="42" t="s">
        <v>372</v>
      </c>
      <c r="B14" s="42" t="s">
        <v>380</v>
      </c>
      <c r="C14" s="42" t="s">
        <v>36</v>
      </c>
      <c r="D14" s="42" t="s">
        <v>50</v>
      </c>
      <c r="E14" s="79">
        <f>P14*W14/M14</f>
        <v>7.2775008357252357E-4</v>
      </c>
      <c r="F14" s="79" t="e">
        <f>Q14*W14/N14</f>
        <v>#DIV/0!</v>
      </c>
      <c r="G14" s="79">
        <f>IF(O14=0,0,R14*W14/O14)</f>
        <v>0</v>
      </c>
      <c r="H14" s="93" t="str">
        <f>IF(AA14&lt;7,(1+(Y14+Z14)/55.615)/(3.413/X14-(Y14+Z14)/55.615),"N/A")</f>
        <v>N/A</v>
      </c>
      <c r="I14" s="80" t="str">
        <f>IF(AA14&lt;7,1/H14,"N/A")</f>
        <v>N/A</v>
      </c>
      <c r="J14" s="81" t="str">
        <f>BaseCOP(C14,L14)</f>
        <v>N/A</v>
      </c>
      <c r="K14" s="80" t="str">
        <f>IF(OR(AA14=2,AA14=4),1/J14,"N/A")</f>
        <v>N/A</v>
      </c>
      <c r="L14" s="82">
        <v>398088</v>
      </c>
      <c r="M14" s="83">
        <v>1187</v>
      </c>
      <c r="N14" s="84">
        <f>M14-O14</f>
        <v>0</v>
      </c>
      <c r="O14" s="83">
        <v>1187</v>
      </c>
      <c r="P14" s="85">
        <v>0.5</v>
      </c>
      <c r="Q14" s="86">
        <v>0.5</v>
      </c>
      <c r="R14" s="86">
        <v>0</v>
      </c>
      <c r="S14" s="87">
        <f>BaseBHP(M14,AA14)</f>
        <v>1.5430999999999999</v>
      </c>
      <c r="T14" s="95">
        <f>IF(AA14&gt;2,BT14,"N/A")</f>
        <v>0.40227547809247155</v>
      </c>
      <c r="U14" s="87">
        <f>IF(AA14&gt;2,S14+T14,"N/A")</f>
        <v>1.9453754780924715</v>
      </c>
      <c r="V14" s="109">
        <f>IF(AA14&gt;2,LOOKUP(U14,MotorHpEff),"N/A")</f>
        <v>0.84</v>
      </c>
      <c r="W14" s="87">
        <f>IF(AA14&gt;2,0.746*U14/V14,M14*0.0003)</f>
        <v>1.7276786984011709</v>
      </c>
      <c r="X14" s="88" t="str">
        <f>BaseEER(C14,D14,L14)</f>
        <v>N/A</v>
      </c>
      <c r="Y14" s="86">
        <v>1</v>
      </c>
      <c r="Z14" s="88" t="str">
        <f>IF(AND(ISNUMBER(X14),X14&gt;0),VLOOKUP(L14,ARIExternalStatic,2),"N/A")</f>
        <v>N/A</v>
      </c>
      <c r="AA14" s="89">
        <f>INT(LEFT(C14,1))</f>
        <v>8</v>
      </c>
      <c r="AB14" s="110" t="b">
        <v>1</v>
      </c>
      <c r="AC14" s="111">
        <v>0.5</v>
      </c>
      <c r="AD14" s="42">
        <v>1187</v>
      </c>
      <c r="AE14" s="111">
        <f>IF(AB14,1,0)*AC14*AD14/4131</f>
        <v>0.14366981360445413</v>
      </c>
      <c r="AF14" s="110" t="b">
        <v>0</v>
      </c>
      <c r="AG14" s="111">
        <v>0.5</v>
      </c>
      <c r="AH14" s="42">
        <v>0</v>
      </c>
      <c r="AI14" s="111">
        <f>IF(AF14,1,0)*AG14*AH14/4131</f>
        <v>0</v>
      </c>
      <c r="AJ14" s="110" t="b">
        <v>0</v>
      </c>
      <c r="AK14" s="42">
        <v>0</v>
      </c>
      <c r="AL14" s="42">
        <v>0</v>
      </c>
      <c r="AM14" s="111">
        <f>IF(AJ14,1,0)*AK14*AL14/4131</f>
        <v>0</v>
      </c>
      <c r="AN14" s="110" t="b">
        <v>0</v>
      </c>
      <c r="AO14" s="111">
        <v>0.5</v>
      </c>
      <c r="AP14" s="42">
        <v>0</v>
      </c>
      <c r="AQ14" s="111">
        <f>IF(AN14,1,0)*AO14*AP14/4131</f>
        <v>0</v>
      </c>
      <c r="AR14" s="110" t="b">
        <v>1</v>
      </c>
      <c r="AS14" s="111">
        <v>0.9</v>
      </c>
      <c r="AT14" s="42">
        <v>1187</v>
      </c>
      <c r="AU14" s="111">
        <f>IF(AR14,1,0)*AS14*AT14/4131</f>
        <v>0.25860566448801742</v>
      </c>
      <c r="AV14" s="110" t="b">
        <v>0</v>
      </c>
      <c r="AW14" s="42">
        <v>0</v>
      </c>
      <c r="AX14" s="42">
        <v>0</v>
      </c>
      <c r="AY14" s="111">
        <f>IF(AV14,1,0)*2*AW14*AX14/4131</f>
        <v>0</v>
      </c>
      <c r="AZ14" s="110" t="b">
        <v>0</v>
      </c>
      <c r="BA14" s="42">
        <v>0</v>
      </c>
      <c r="BB14" s="42">
        <v>0</v>
      </c>
      <c r="BC14" s="111">
        <f>IF(AZ14,1,0)*BA14*BB14/4131</f>
        <v>0</v>
      </c>
      <c r="BD14" s="110" t="b">
        <v>0</v>
      </c>
      <c r="BE14" s="42">
        <v>0</v>
      </c>
      <c r="BF14" s="42">
        <v>0</v>
      </c>
      <c r="BG14" s="111">
        <f>IF(BD14,1,0)*BE14*BF14/4131</f>
        <v>0</v>
      </c>
      <c r="BH14" s="110" t="b">
        <v>0</v>
      </c>
      <c r="BI14" s="42">
        <v>0</v>
      </c>
      <c r="BJ14" s="42">
        <v>0</v>
      </c>
      <c r="BK14" s="111">
        <f>IF(BH14,1,0)*BI14*BJ14/4131</f>
        <v>0</v>
      </c>
      <c r="BL14" s="110" t="b">
        <v>0</v>
      </c>
      <c r="BM14" s="111">
        <v>0.15</v>
      </c>
      <c r="BN14" s="42">
        <v>0</v>
      </c>
      <c r="BO14" s="111">
        <f>IF(BL14,1,0)*BM14*BN14/4131</f>
        <v>0</v>
      </c>
      <c r="BP14" s="110" t="b">
        <v>0</v>
      </c>
      <c r="BQ14" s="111">
        <v>-1</v>
      </c>
      <c r="BR14" s="42">
        <v>0</v>
      </c>
      <c r="BS14" s="111">
        <f>IF(BP14,1,0)*BQ14*BR14/4131</f>
        <v>0</v>
      </c>
      <c r="BT14" s="111">
        <f>SUM(BS14,BO14,BK14,BG14,BC14,AY14,AU14,AQ14,AM14,AI14,AE14)</f>
        <v>0.40227547809247155</v>
      </c>
    </row>
    <row r="15" spans="1:72" s="39" customFormat="1">
      <c r="A15" s="42" t="s">
        <v>373</v>
      </c>
      <c r="B15" s="42" t="s">
        <v>173</v>
      </c>
      <c r="C15" s="42" t="s">
        <v>36</v>
      </c>
      <c r="D15" s="42" t="s">
        <v>50</v>
      </c>
      <c r="E15" s="79">
        <f>P15*W15/M15</f>
        <v>0.69271428571428573</v>
      </c>
      <c r="F15" s="79">
        <f>Q15*W15/N15</f>
        <v>0.2664285714285714</v>
      </c>
      <c r="G15" s="79">
        <f>IF(O15=0,0,R15*W15/O15)</f>
        <v>0.79928571428571427</v>
      </c>
      <c r="H15" s="93" t="str">
        <f>IF(AA15&lt;7,(1+(Y15+Z15)/55.615)/(3.413/X15-(Y15+Z15)/55.615),"N/A")</f>
        <v>N/A</v>
      </c>
      <c r="I15" s="80" t="str">
        <f>IF(AA15&lt;7,1/H15,"N/A")</f>
        <v>N/A</v>
      </c>
      <c r="J15" s="81" t="str">
        <f>BaseCOP(C15,L15)</f>
        <v>N/A</v>
      </c>
      <c r="K15" s="80" t="str">
        <f>IF(OR(AA15=2,AA15=4),1/J15,"N/A")</f>
        <v>N/A</v>
      </c>
      <c r="L15" s="82" t="s">
        <v>68</v>
      </c>
      <c r="M15" s="83">
        <v>10000</v>
      </c>
      <c r="N15" s="84">
        <f>M15-O15</f>
        <v>8000</v>
      </c>
      <c r="O15" s="83">
        <v>2000</v>
      </c>
      <c r="P15" s="85">
        <v>650</v>
      </c>
      <c r="Q15" s="86">
        <v>200</v>
      </c>
      <c r="R15" s="86">
        <v>150</v>
      </c>
      <c r="S15" s="87">
        <f>BaseBHP(M15,AA15)</f>
        <v>13</v>
      </c>
      <c r="T15" s="95">
        <f>IF(AA15&gt;2,BT15,"N/A")</f>
        <v>0</v>
      </c>
      <c r="U15" s="87">
        <f>IF(AA15&gt;2,S15+T15,"N/A")</f>
        <v>13</v>
      </c>
      <c r="V15" s="109">
        <f>IF(AA15&gt;2,LOOKUP(U15,MotorHpEff),"N/A")</f>
        <v>0.91</v>
      </c>
      <c r="W15" s="87">
        <f>IF(AA15&gt;2,0.746*U15/V15,M15*0.0003)</f>
        <v>10.657142857142857</v>
      </c>
      <c r="X15" s="88" t="str">
        <f>BaseEER(C15,D15,L15)</f>
        <v>N/A</v>
      </c>
      <c r="Y15" s="86">
        <v>1</v>
      </c>
      <c r="Z15" s="88" t="str">
        <f>IF(AND(ISNUMBER(X15),X15&gt;0),VLOOKUP(L15,ARIExternalStatic,2),"N/A")</f>
        <v>N/A</v>
      </c>
      <c r="AA15" s="89">
        <f>INT(LEFT(C15,1))</f>
        <v>8</v>
      </c>
      <c r="AB15" s="110" t="b">
        <v>0</v>
      </c>
      <c r="AC15" s="111">
        <v>0.5</v>
      </c>
      <c r="AD15" s="42">
        <v>0</v>
      </c>
      <c r="AE15" s="111">
        <f>IF(AB15,1,0)*AC15*AD15/4131</f>
        <v>0</v>
      </c>
      <c r="AF15" s="110" t="b">
        <v>0</v>
      </c>
      <c r="AG15" s="111">
        <v>0.5</v>
      </c>
      <c r="AH15" s="42">
        <v>0</v>
      </c>
      <c r="AI15" s="111">
        <f>IF(AF15,1,0)*AG15*AH15/4131</f>
        <v>0</v>
      </c>
      <c r="AJ15" s="110" t="b">
        <v>0</v>
      </c>
      <c r="AK15" s="42">
        <v>0</v>
      </c>
      <c r="AL15" s="42">
        <v>0</v>
      </c>
      <c r="AM15" s="111">
        <f>IF(AJ15,1,0)*AK15*AL15/4131</f>
        <v>0</v>
      </c>
      <c r="AN15" s="110" t="b">
        <v>0</v>
      </c>
      <c r="AO15" s="111">
        <v>0.5</v>
      </c>
      <c r="AP15" s="42">
        <v>0</v>
      </c>
      <c r="AQ15" s="111">
        <f>IF(AN15,1,0)*AO15*AP15/4131</f>
        <v>0</v>
      </c>
      <c r="AR15" s="110" t="b">
        <v>0</v>
      </c>
      <c r="AS15" s="111">
        <v>0.9</v>
      </c>
      <c r="AT15" s="42">
        <v>0</v>
      </c>
      <c r="AU15" s="111">
        <f>IF(AR15,1,0)*AS15*AT15/4131</f>
        <v>0</v>
      </c>
      <c r="AV15" s="110" t="b">
        <v>0</v>
      </c>
      <c r="AW15" s="42">
        <v>0</v>
      </c>
      <c r="AX15" s="42">
        <v>0</v>
      </c>
      <c r="AY15" s="111">
        <f>IF(AV15,1,0)*2*AW15*AX15/4131</f>
        <v>0</v>
      </c>
      <c r="AZ15" s="110" t="b">
        <v>0</v>
      </c>
      <c r="BA15" s="42">
        <v>0</v>
      </c>
      <c r="BB15" s="42">
        <v>0</v>
      </c>
      <c r="BC15" s="111">
        <f>IF(AZ15,1,0)*BA15*BB15/4131</f>
        <v>0</v>
      </c>
      <c r="BD15" s="110" t="b">
        <v>0</v>
      </c>
      <c r="BE15" s="42">
        <v>0</v>
      </c>
      <c r="BF15" s="42">
        <v>0</v>
      </c>
      <c r="BG15" s="111">
        <f>IF(BD15,1,0)*BE15*BF15/4131</f>
        <v>0</v>
      </c>
      <c r="BH15" s="110" t="b">
        <v>0</v>
      </c>
      <c r="BI15" s="42">
        <v>0</v>
      </c>
      <c r="BJ15" s="42">
        <v>0</v>
      </c>
      <c r="BK15" s="111">
        <f>IF(BH15,1,0)*BI15*BJ15/4131</f>
        <v>0</v>
      </c>
      <c r="BL15" s="110" t="b">
        <v>0</v>
      </c>
      <c r="BM15" s="111">
        <v>0.15</v>
      </c>
      <c r="BN15" s="42">
        <v>0</v>
      </c>
      <c r="BO15" s="111">
        <f>IF(BL15,1,0)*BM15*BN15/4131</f>
        <v>0</v>
      </c>
      <c r="BP15" s="110" t="b">
        <v>0</v>
      </c>
      <c r="BQ15" s="111">
        <v>-1</v>
      </c>
      <c r="BR15" s="42">
        <v>0</v>
      </c>
      <c r="BS15" s="111">
        <f>IF(BP15,1,0)*BQ15*BR15/4131</f>
        <v>0</v>
      </c>
      <c r="BT15" s="111">
        <f>SUM(BS15,BO15,BK15,BG15,BC15,AY15,AU15,AQ15,AM15,AI15,AE15)</f>
        <v>0</v>
      </c>
    </row>
    <row r="16" spans="1:72" s="39" customFormat="1">
      <c r="A16" s="42" t="s">
        <v>374</v>
      </c>
      <c r="B16" s="42" t="s">
        <v>173</v>
      </c>
      <c r="C16" s="42" t="s">
        <v>40</v>
      </c>
      <c r="D16" s="42" t="s">
        <v>50</v>
      </c>
      <c r="E16" s="79">
        <f>P16*W16/M16</f>
        <v>0.50928044692737429</v>
      </c>
      <c r="F16" s="79">
        <f>Q16*W16/N16</f>
        <v>0.19587709497206707</v>
      </c>
      <c r="G16" s="79">
        <f>IF(O16=0,0,R16*W16/O16)</f>
        <v>0.58763128491620109</v>
      </c>
      <c r="H16" s="93">
        <f>IF(AA16&lt;7,(1+(Y16+Z16)/55.615)/(3.413/X16-(Y16+Z16)/55.615),"N/A")</f>
        <v>3.5958410332840551</v>
      </c>
      <c r="I16" s="80">
        <f>IF(AA16&lt;7,1/H16,"N/A")</f>
        <v>0.27809905686701264</v>
      </c>
      <c r="J16" s="81" t="str">
        <f>BaseCOP(C16,L16)</f>
        <v>N/A</v>
      </c>
      <c r="K16" s="80" t="str">
        <f>IF(OR(AA16=2,AA16=4),1/J16,"N/A")</f>
        <v>N/A</v>
      </c>
      <c r="L16" s="82">
        <v>218000</v>
      </c>
      <c r="M16" s="83">
        <v>10000</v>
      </c>
      <c r="N16" s="84">
        <f>M16-O16</f>
        <v>8000</v>
      </c>
      <c r="O16" s="83">
        <v>2000</v>
      </c>
      <c r="P16" s="85">
        <v>650</v>
      </c>
      <c r="Q16" s="86">
        <v>200</v>
      </c>
      <c r="R16" s="86">
        <v>150</v>
      </c>
      <c r="S16" s="87">
        <f>BaseBHP(M16,AA16)</f>
        <v>9.4</v>
      </c>
      <c r="T16" s="95">
        <f>IF(AA16&gt;2,BT16,"N/A")</f>
        <v>0</v>
      </c>
      <c r="U16" s="87">
        <f>IF(AA16&gt;2,S16+T16,"N/A")</f>
        <v>9.4</v>
      </c>
      <c r="V16" s="109">
        <f>IF(AA16&gt;2,LOOKUP(U16,MotorHpEff),"N/A")</f>
        <v>0.89500000000000002</v>
      </c>
      <c r="W16" s="87">
        <f>IF(AA16&gt;2,0.746*U16/V16,M16*0.0003)</f>
        <v>7.8350837988826818</v>
      </c>
      <c r="X16" s="88">
        <f>BaseEER(C16,D16,L16)</f>
        <v>11</v>
      </c>
      <c r="Y16" s="86">
        <v>1</v>
      </c>
      <c r="Z16" s="88">
        <f>IF(AND(ISNUMBER(X16),X16&gt;0),VLOOKUP(L16,ARIExternalStatic,2),"N/A")</f>
        <v>0.4</v>
      </c>
      <c r="AA16" s="89">
        <f>INT(LEFT(C16,1))</f>
        <v>3</v>
      </c>
      <c r="AB16" s="110" t="b">
        <v>0</v>
      </c>
      <c r="AC16" s="111">
        <v>0.5</v>
      </c>
      <c r="AD16" s="42">
        <v>0</v>
      </c>
      <c r="AE16" s="111">
        <f>IF(AB16,1,0)*AC16*AD16/4131</f>
        <v>0</v>
      </c>
      <c r="AF16" s="110" t="b">
        <v>0</v>
      </c>
      <c r="AG16" s="111">
        <v>0.5</v>
      </c>
      <c r="AH16" s="42">
        <v>0</v>
      </c>
      <c r="AI16" s="111">
        <f>IF(AF16,1,0)*AG16*AH16/4131</f>
        <v>0</v>
      </c>
      <c r="AJ16" s="110" t="b">
        <v>0</v>
      </c>
      <c r="AK16" s="42">
        <v>0</v>
      </c>
      <c r="AL16" s="42">
        <v>0</v>
      </c>
      <c r="AM16" s="111">
        <f>IF(AJ16,1,0)*AK16*AL16/4131</f>
        <v>0</v>
      </c>
      <c r="AN16" s="110" t="b">
        <v>0</v>
      </c>
      <c r="AO16" s="111">
        <v>0.5</v>
      </c>
      <c r="AP16" s="42">
        <v>0</v>
      </c>
      <c r="AQ16" s="111">
        <f>IF(AN16,1,0)*AO16*AP16/4131</f>
        <v>0</v>
      </c>
      <c r="AR16" s="110" t="b">
        <v>0</v>
      </c>
      <c r="AS16" s="111">
        <v>0.9</v>
      </c>
      <c r="AT16" s="42">
        <v>0</v>
      </c>
      <c r="AU16" s="111">
        <f>IF(AR16,1,0)*AS16*AT16/4131</f>
        <v>0</v>
      </c>
      <c r="AV16" s="110" t="b">
        <v>0</v>
      </c>
      <c r="AW16" s="42">
        <v>0</v>
      </c>
      <c r="AX16" s="42">
        <v>0</v>
      </c>
      <c r="AY16" s="111">
        <f>IF(AV16,1,0)*2*AW16*AX16/4131</f>
        <v>0</v>
      </c>
      <c r="AZ16" s="110" t="b">
        <v>0</v>
      </c>
      <c r="BA16" s="42">
        <v>0</v>
      </c>
      <c r="BB16" s="42">
        <v>0</v>
      </c>
      <c r="BC16" s="111">
        <f>IF(AZ16,1,0)*BA16*BB16/4131</f>
        <v>0</v>
      </c>
      <c r="BD16" s="110" t="b">
        <v>0</v>
      </c>
      <c r="BE16" s="42">
        <v>0</v>
      </c>
      <c r="BF16" s="42">
        <v>0</v>
      </c>
      <c r="BG16" s="111">
        <f>IF(BD16,1,0)*BE16*BF16/4131</f>
        <v>0</v>
      </c>
      <c r="BH16" s="110" t="b">
        <v>0</v>
      </c>
      <c r="BI16" s="42">
        <v>0</v>
      </c>
      <c r="BJ16" s="42">
        <v>0</v>
      </c>
      <c r="BK16" s="111">
        <f>IF(BH16,1,0)*BI16*BJ16/4131</f>
        <v>0</v>
      </c>
      <c r="BL16" s="110" t="b">
        <v>0</v>
      </c>
      <c r="BM16" s="111">
        <v>0.15</v>
      </c>
      <c r="BN16" s="42">
        <v>0</v>
      </c>
      <c r="BO16" s="111">
        <f>IF(BL16,1,0)*BM16*BN16/4131</f>
        <v>0</v>
      </c>
      <c r="BP16" s="110" t="b">
        <v>0</v>
      </c>
      <c r="BQ16" s="111">
        <v>-1</v>
      </c>
      <c r="BR16" s="42">
        <v>0</v>
      </c>
      <c r="BS16" s="111">
        <f>IF(BP16,1,0)*BQ16*BR16/4131</f>
        <v>0</v>
      </c>
      <c r="BT16" s="111">
        <f>SUM(BS16,BO16,BK16,BG16,BC16,AY16,AU16,AQ16,AM16,AI16,AE16)</f>
        <v>0</v>
      </c>
    </row>
    <row r="18" spans="14:23">
      <c r="N18" s="55"/>
    </row>
    <row r="19" spans="14:23">
      <c r="N19" s="56"/>
      <c r="U19" s="57"/>
      <c r="V19" s="58"/>
      <c r="W19" s="59"/>
    </row>
    <row r="20" spans="14:23">
      <c r="N20" s="56"/>
    </row>
  </sheetData>
  <sheetProtection password="C5C5" sheet="1" objects="1" scenarios="1"/>
  <dataConsolidate/>
  <mergeCells count="14">
    <mergeCell ref="AF8:AI8"/>
    <mergeCell ref="AJ8:AM8"/>
    <mergeCell ref="AN8:AQ8"/>
    <mergeCell ref="AR8:AU8"/>
    <mergeCell ref="A1:J3"/>
    <mergeCell ref="F6:J6"/>
    <mergeCell ref="F7:J7"/>
    <mergeCell ref="AB8:AE8"/>
    <mergeCell ref="AV8:AY8"/>
    <mergeCell ref="BP8:BS8"/>
    <mergeCell ref="AZ8:BC8"/>
    <mergeCell ref="BD8:BG8"/>
    <mergeCell ref="BH8:BK8"/>
    <mergeCell ref="BL8:BO8"/>
  </mergeCells>
  <dataValidations count="3">
    <dataValidation type="list" allowBlank="1" showInputMessage="1" showErrorMessage="1" sqref="AF10:AF16 AB10:AB16 BD10:BD16 BL10:BL16 BH10:BH16 AZ10:AZ16 AV10:AV16 AR10:AR16 AN10:AN16 AJ10:AJ16 BP10:BP16">
      <formula1>BOOLEAN</formula1>
    </dataValidation>
    <dataValidation type="list" allowBlank="1" showInputMessage="1" showErrorMessage="1" sqref="C10:C16">
      <formula1>SystemTypes</formula1>
    </dataValidation>
    <dataValidation type="list" allowBlank="1" showInputMessage="1" showErrorMessage="1" sqref="D10:D16">
      <formula1>HeatingType</formula1>
    </dataValidation>
  </dataValidations>
  <pageMargins left="0.7" right="0.7" top="0.75" bottom="0.75" header="0.3" footer="0.3"/>
  <pageSetup paperSize="66" scale="37" fitToHeight="0"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N208"/>
  <sheetViews>
    <sheetView showGridLines="0" topLeftCell="N1" workbookViewId="0">
      <selection activeCell="V4" sqref="V4:BN4"/>
    </sheetView>
  </sheetViews>
  <sheetFormatPr baseColWidth="10" defaultColWidth="9.140625" defaultRowHeight="12.75"/>
  <cols>
    <col min="1" max="1" width="27.85546875" style="38" bestFit="1" customWidth="1"/>
    <col min="2" max="2" width="19.7109375" style="38" bestFit="1" customWidth="1"/>
    <col min="3" max="9" width="9.140625" style="38"/>
    <col min="10" max="10" width="9.140625" style="38" customWidth="1"/>
    <col min="11" max="11" width="9.140625" style="38"/>
    <col min="12" max="12" width="38.5703125" style="38" bestFit="1" customWidth="1"/>
    <col min="13" max="14" width="9.140625" style="38" bestFit="1" customWidth="1"/>
    <col min="15" max="15" width="12.140625" style="38" bestFit="1" customWidth="1"/>
    <col min="16" max="17" width="11.7109375" style="38" bestFit="1" customWidth="1"/>
    <col min="18" max="18" width="13.5703125" style="38" bestFit="1" customWidth="1"/>
    <col min="19" max="19" width="16.7109375" style="38" bestFit="1" customWidth="1"/>
    <col min="20" max="20" width="18.28515625" style="38" customWidth="1"/>
    <col min="21" max="21" width="14.5703125" style="38" customWidth="1"/>
    <col min="22" max="22" width="22.5703125" style="38" customWidth="1"/>
    <col min="23" max="23" width="8.140625" style="38" bestFit="1" customWidth="1"/>
    <col min="24" max="24" width="6.7109375" style="38" customWidth="1"/>
    <col min="25" max="25" width="8.42578125" style="38" bestFit="1" customWidth="1"/>
    <col min="26" max="26" width="7" style="38" bestFit="1" customWidth="1"/>
    <col min="27" max="27" width="8.140625" style="38" bestFit="1" customWidth="1"/>
    <col min="28" max="28" width="5" style="38" bestFit="1" customWidth="1"/>
    <col min="29" max="29" width="8.42578125" style="38" bestFit="1" customWidth="1"/>
    <col min="30" max="30" width="7" style="38" bestFit="1" customWidth="1"/>
    <col min="31" max="31" width="8.140625" style="38" bestFit="1" customWidth="1"/>
    <col min="32" max="32" width="5" style="38" bestFit="1" customWidth="1"/>
    <col min="33" max="33" width="8.42578125" style="38" bestFit="1" customWidth="1"/>
    <col min="34" max="34" width="7" style="38" bestFit="1" customWidth="1"/>
    <col min="35" max="35" width="8.140625" style="38" bestFit="1" customWidth="1"/>
    <col min="36" max="36" width="5" style="38" bestFit="1" customWidth="1"/>
    <col min="37" max="37" width="8.42578125" style="38" bestFit="1" customWidth="1"/>
    <col min="38" max="38" width="7" style="38" bestFit="1" customWidth="1"/>
    <col min="39" max="39" width="8.140625" style="38" bestFit="1" customWidth="1"/>
    <col min="40" max="40" width="5" style="38" bestFit="1" customWidth="1"/>
    <col min="41" max="41" width="8.42578125" style="38" bestFit="1" customWidth="1"/>
    <col min="42" max="42" width="7" style="38" bestFit="1" customWidth="1"/>
    <col min="43" max="43" width="8.140625" style="38" bestFit="1" customWidth="1"/>
    <col min="44" max="44" width="5" style="38" bestFit="1" customWidth="1"/>
    <col min="45" max="45" width="8.42578125" style="38" bestFit="1" customWidth="1"/>
    <col min="46" max="46" width="7" style="38" bestFit="1" customWidth="1"/>
    <col min="47" max="47" width="8.140625" style="38" bestFit="1" customWidth="1"/>
    <col min="48" max="48" width="5" style="38" bestFit="1" customWidth="1"/>
    <col min="49" max="49" width="8.42578125" style="38" bestFit="1" customWidth="1"/>
    <col min="50" max="50" width="7" style="38" bestFit="1" customWidth="1"/>
    <col min="51" max="51" width="8.140625" style="38" bestFit="1" customWidth="1"/>
    <col min="52" max="52" width="5" style="38" bestFit="1" customWidth="1"/>
    <col min="53" max="53" width="8.42578125" style="38" bestFit="1" customWidth="1"/>
    <col min="54" max="54" width="7" style="38" bestFit="1" customWidth="1"/>
    <col min="55" max="55" width="8.140625" style="38" bestFit="1" customWidth="1"/>
    <col min="56" max="56" width="5" style="38" bestFit="1" customWidth="1"/>
    <col min="57" max="57" width="8.42578125" style="38" bestFit="1" customWidth="1"/>
    <col min="58" max="58" width="7" style="38" bestFit="1" customWidth="1"/>
    <col min="59" max="59" width="8.140625" style="38" bestFit="1" customWidth="1"/>
    <col min="60" max="60" width="5" style="38" bestFit="1" customWidth="1"/>
    <col min="61" max="61" width="8.42578125" style="38" bestFit="1" customWidth="1"/>
    <col min="62" max="62" width="7" style="38" bestFit="1" customWidth="1"/>
    <col min="63" max="63" width="8.140625" style="38" bestFit="1" customWidth="1"/>
    <col min="64" max="64" width="5" style="38" bestFit="1" customWidth="1"/>
    <col min="65" max="65" width="8.42578125" style="38" bestFit="1" customWidth="1"/>
    <col min="66" max="66" width="13.7109375" style="38" customWidth="1"/>
    <col min="67" max="16384" width="9.140625" style="38"/>
  </cols>
  <sheetData>
    <row r="1" spans="1:66" ht="30" customHeight="1" thickBot="1">
      <c r="A1" s="27" t="s">
        <v>2</v>
      </c>
      <c r="B1" s="27" t="s">
        <v>3</v>
      </c>
      <c r="C1" s="39"/>
      <c r="D1" s="131" t="s">
        <v>304</v>
      </c>
      <c r="E1" s="131"/>
      <c r="F1" s="131"/>
      <c r="G1" s="131"/>
      <c r="H1" s="131"/>
      <c r="I1" s="131"/>
      <c r="J1" s="131"/>
      <c r="K1" s="39"/>
      <c r="L1" s="28" t="s">
        <v>275</v>
      </c>
      <c r="M1" s="27" t="s">
        <v>154</v>
      </c>
      <c r="N1" s="27" t="s">
        <v>151</v>
      </c>
      <c r="O1" s="27" t="s">
        <v>155</v>
      </c>
      <c r="P1" s="27" t="s">
        <v>152</v>
      </c>
      <c r="Q1" s="27" t="s">
        <v>153</v>
      </c>
      <c r="R1" s="27" t="s">
        <v>158</v>
      </c>
      <c r="S1" s="27" t="s">
        <v>226</v>
      </c>
    </row>
    <row r="2" spans="1:66" ht="13.5" thickBot="1">
      <c r="A2" s="24">
        <v>0</v>
      </c>
      <c r="B2" s="29">
        <v>0.82499999999999996</v>
      </c>
      <c r="C2" s="39"/>
      <c r="D2" s="132" t="s">
        <v>48</v>
      </c>
      <c r="E2" s="132"/>
      <c r="F2" s="132" t="s">
        <v>49</v>
      </c>
      <c r="G2" s="132"/>
      <c r="H2" s="132" t="s">
        <v>64</v>
      </c>
      <c r="I2" s="132"/>
      <c r="J2" s="132"/>
      <c r="K2" s="39"/>
      <c r="L2" s="30" t="s">
        <v>157</v>
      </c>
      <c r="M2" s="31">
        <v>0</v>
      </c>
      <c r="N2" s="31">
        <v>0</v>
      </c>
      <c r="O2" s="32">
        <v>0</v>
      </c>
      <c r="P2" s="32">
        <v>0</v>
      </c>
      <c r="Q2" s="32">
        <v>0</v>
      </c>
      <c r="R2" s="33" t="b">
        <v>0</v>
      </c>
      <c r="S2" s="33" t="s">
        <v>227</v>
      </c>
      <c r="T2" s="78"/>
      <c r="U2" s="78"/>
      <c r="V2" s="133" t="s">
        <v>15</v>
      </c>
      <c r="W2" s="133"/>
      <c r="X2" s="133"/>
      <c r="Y2" s="133"/>
      <c r="Z2" s="133" t="s">
        <v>5</v>
      </c>
      <c r="AA2" s="133"/>
      <c r="AB2" s="133"/>
      <c r="AC2" s="133"/>
      <c r="AD2" s="133" t="s">
        <v>18</v>
      </c>
      <c r="AE2" s="133"/>
      <c r="AF2" s="133"/>
      <c r="AG2" s="133"/>
      <c r="AH2" s="133" t="s">
        <v>1</v>
      </c>
      <c r="AI2" s="133"/>
      <c r="AJ2" s="133"/>
      <c r="AK2" s="133"/>
      <c r="AL2" s="133" t="s">
        <v>4</v>
      </c>
      <c r="AM2" s="133"/>
      <c r="AN2" s="133"/>
      <c r="AO2" s="133"/>
      <c r="AP2" s="133" t="s">
        <v>19</v>
      </c>
      <c r="AQ2" s="133"/>
      <c r="AR2" s="133"/>
      <c r="AS2" s="133"/>
      <c r="AT2" s="133" t="s">
        <v>20</v>
      </c>
      <c r="AU2" s="133"/>
      <c r="AV2" s="133"/>
      <c r="AW2" s="133"/>
      <c r="AX2" s="133" t="s">
        <v>21</v>
      </c>
      <c r="AY2" s="133"/>
      <c r="AZ2" s="133"/>
      <c r="BA2" s="133"/>
      <c r="BB2" s="133" t="s">
        <v>22</v>
      </c>
      <c r="BC2" s="133"/>
      <c r="BD2" s="133"/>
      <c r="BE2" s="133"/>
      <c r="BF2" s="133" t="s">
        <v>23</v>
      </c>
      <c r="BG2" s="133"/>
      <c r="BH2" s="133"/>
      <c r="BI2" s="133"/>
      <c r="BJ2" s="133" t="s">
        <v>24</v>
      </c>
      <c r="BK2" s="133"/>
      <c r="BL2" s="133"/>
      <c r="BM2" s="133"/>
      <c r="BN2" s="43"/>
    </row>
    <row r="3" spans="1:66" ht="26.25" thickBot="1">
      <c r="A3" s="24">
        <v>1</v>
      </c>
      <c r="B3" s="29">
        <v>0.84</v>
      </c>
      <c r="C3" s="39"/>
      <c r="D3" s="27" t="s">
        <v>47</v>
      </c>
      <c r="E3" s="34" t="s">
        <v>45</v>
      </c>
      <c r="F3" s="27" t="s">
        <v>47</v>
      </c>
      <c r="G3" s="34" t="s">
        <v>45</v>
      </c>
      <c r="H3" s="27" t="s">
        <v>47</v>
      </c>
      <c r="I3" s="34" t="s">
        <v>45</v>
      </c>
      <c r="J3" s="34" t="s">
        <v>65</v>
      </c>
      <c r="K3" s="74"/>
      <c r="L3" s="33" t="s">
        <v>69</v>
      </c>
      <c r="M3" s="31">
        <v>0.6</v>
      </c>
      <c r="N3" s="31">
        <v>0.5</v>
      </c>
      <c r="O3" s="32">
        <v>30</v>
      </c>
      <c r="P3" s="32">
        <v>250</v>
      </c>
      <c r="Q3" s="32">
        <v>250</v>
      </c>
      <c r="R3" s="33" t="b">
        <v>0</v>
      </c>
      <c r="S3" s="33" t="s">
        <v>271</v>
      </c>
      <c r="T3" s="78"/>
      <c r="U3" s="78"/>
      <c r="V3" s="45" t="s">
        <v>14</v>
      </c>
      <c r="W3" s="45" t="s">
        <v>12</v>
      </c>
      <c r="X3" s="45" t="s">
        <v>11</v>
      </c>
      <c r="Y3" s="45" t="s">
        <v>13</v>
      </c>
      <c r="Z3" s="45" t="s">
        <v>14</v>
      </c>
      <c r="AA3" s="45" t="s">
        <v>12</v>
      </c>
      <c r="AB3" s="45" t="s">
        <v>11</v>
      </c>
      <c r="AC3" s="45" t="s">
        <v>13</v>
      </c>
      <c r="AD3" s="45" t="s">
        <v>14</v>
      </c>
      <c r="AE3" s="45" t="s">
        <v>12</v>
      </c>
      <c r="AF3" s="45" t="s">
        <v>11</v>
      </c>
      <c r="AG3" s="45" t="s">
        <v>13</v>
      </c>
      <c r="AH3" s="45" t="s">
        <v>14</v>
      </c>
      <c r="AI3" s="45" t="s">
        <v>12</v>
      </c>
      <c r="AJ3" s="45" t="s">
        <v>11</v>
      </c>
      <c r="AK3" s="45" t="s">
        <v>13</v>
      </c>
      <c r="AL3" s="45" t="s">
        <v>14</v>
      </c>
      <c r="AM3" s="45" t="s">
        <v>12</v>
      </c>
      <c r="AN3" s="45" t="s">
        <v>11</v>
      </c>
      <c r="AO3" s="45" t="s">
        <v>13</v>
      </c>
      <c r="AP3" s="45" t="s">
        <v>14</v>
      </c>
      <c r="AQ3" s="45" t="s">
        <v>12</v>
      </c>
      <c r="AR3" s="45" t="s">
        <v>11</v>
      </c>
      <c r="AS3" s="45" t="s">
        <v>13</v>
      </c>
      <c r="AT3" s="45" t="s">
        <v>14</v>
      </c>
      <c r="AU3" s="45" t="s">
        <v>12</v>
      </c>
      <c r="AV3" s="45" t="s">
        <v>11</v>
      </c>
      <c r="AW3" s="45" t="s">
        <v>13</v>
      </c>
      <c r="AX3" s="45" t="s">
        <v>14</v>
      </c>
      <c r="AY3" s="45" t="s">
        <v>12</v>
      </c>
      <c r="AZ3" s="45" t="s">
        <v>11</v>
      </c>
      <c r="BA3" s="45" t="s">
        <v>13</v>
      </c>
      <c r="BB3" s="45" t="s">
        <v>14</v>
      </c>
      <c r="BC3" s="45" t="s">
        <v>12</v>
      </c>
      <c r="BD3" s="45" t="s">
        <v>11</v>
      </c>
      <c r="BE3" s="45" t="s">
        <v>13</v>
      </c>
      <c r="BF3" s="45" t="s">
        <v>14</v>
      </c>
      <c r="BG3" s="45" t="s">
        <v>12</v>
      </c>
      <c r="BH3" s="45" t="s">
        <v>11</v>
      </c>
      <c r="BI3" s="45" t="s">
        <v>13</v>
      </c>
      <c r="BJ3" s="45" t="s">
        <v>14</v>
      </c>
      <c r="BK3" s="45" t="s">
        <v>12</v>
      </c>
      <c r="BL3" s="45" t="s">
        <v>11</v>
      </c>
      <c r="BM3" s="45" t="s">
        <v>13</v>
      </c>
      <c r="BN3" s="45" t="s">
        <v>9</v>
      </c>
    </row>
    <row r="4" spans="1:66" ht="13.5" thickBot="1">
      <c r="A4" s="24">
        <v>1.5</v>
      </c>
      <c r="B4" s="29">
        <v>0.84</v>
      </c>
      <c r="C4" s="39"/>
      <c r="D4" s="33">
        <v>0</v>
      </c>
      <c r="E4" s="33">
        <v>10</v>
      </c>
      <c r="F4" s="33">
        <v>0</v>
      </c>
      <c r="G4" s="33">
        <v>10</v>
      </c>
      <c r="H4" s="33">
        <v>0</v>
      </c>
      <c r="I4" s="33">
        <v>10</v>
      </c>
      <c r="J4" s="35">
        <f>0.2778*7.7+0.9667</f>
        <v>3.1057600000000001</v>
      </c>
      <c r="K4" s="39"/>
      <c r="L4" s="33" t="s">
        <v>70</v>
      </c>
      <c r="M4" s="31">
        <v>0.2</v>
      </c>
      <c r="N4" s="31">
        <v>0.5</v>
      </c>
      <c r="O4" s="32">
        <v>30</v>
      </c>
      <c r="P4" s="32">
        <v>250</v>
      </c>
      <c r="Q4" s="32">
        <v>250</v>
      </c>
      <c r="R4" s="33" t="b">
        <v>0</v>
      </c>
      <c r="S4" s="33" t="s">
        <v>271</v>
      </c>
      <c r="T4" s="78"/>
      <c r="U4" s="78"/>
      <c r="V4" s="110" t="b">
        <v>0</v>
      </c>
      <c r="W4" s="111">
        <v>0.5</v>
      </c>
      <c r="X4" s="42">
        <v>0</v>
      </c>
      <c r="Y4" s="111">
        <f>IF(V4,1,0)*W4*X4/4131</f>
        <v>0</v>
      </c>
      <c r="Z4" s="110" t="b">
        <v>0</v>
      </c>
      <c r="AA4" s="111">
        <v>0.5</v>
      </c>
      <c r="AB4" s="42">
        <v>0</v>
      </c>
      <c r="AC4" s="111">
        <f>IF(Z4,1,0)*AA4*AB4/4131</f>
        <v>0</v>
      </c>
      <c r="AD4" s="110" t="b">
        <v>0</v>
      </c>
      <c r="AE4" s="42">
        <v>0</v>
      </c>
      <c r="AF4" s="42">
        <v>0</v>
      </c>
      <c r="AG4" s="111">
        <f>IF(AD4,1,0)*AE4*AF4/4131</f>
        <v>0</v>
      </c>
      <c r="AH4" s="110" t="b">
        <v>0</v>
      </c>
      <c r="AI4" s="111">
        <v>0.5</v>
      </c>
      <c r="AJ4" s="42">
        <v>0</v>
      </c>
      <c r="AK4" s="111">
        <f>IF(AH4,1,0)*AI4*AJ4/4131</f>
        <v>0</v>
      </c>
      <c r="AL4" s="110" t="b">
        <v>0</v>
      </c>
      <c r="AM4" s="111">
        <v>0.9</v>
      </c>
      <c r="AN4" s="42">
        <v>0</v>
      </c>
      <c r="AO4" s="111">
        <f>IF(AL4,1,0)*AM4*AN4/4131</f>
        <v>0</v>
      </c>
      <c r="AP4" s="110" t="b">
        <v>0</v>
      </c>
      <c r="AQ4" s="42">
        <v>0</v>
      </c>
      <c r="AR4" s="42">
        <v>0</v>
      </c>
      <c r="AS4" s="111">
        <f>IF(AP4,1,0)*2*AQ4*AR4/4131</f>
        <v>0</v>
      </c>
      <c r="AT4" s="110" t="b">
        <v>0</v>
      </c>
      <c r="AU4" s="42">
        <v>0</v>
      </c>
      <c r="AV4" s="42">
        <v>0</v>
      </c>
      <c r="AW4" s="111">
        <f>IF(AT4,1,0)*AU4*AV4/4131</f>
        <v>0</v>
      </c>
      <c r="AX4" s="110" t="b">
        <v>0</v>
      </c>
      <c r="AY4" s="42">
        <v>0</v>
      </c>
      <c r="AZ4" s="42">
        <v>0</v>
      </c>
      <c r="BA4" s="111">
        <f>IF(AX4,1,0)*AY4*AZ4/4131</f>
        <v>0</v>
      </c>
      <c r="BB4" s="110" t="b">
        <v>0</v>
      </c>
      <c r="BC4" s="42">
        <v>0</v>
      </c>
      <c r="BD4" s="42">
        <v>0</v>
      </c>
      <c r="BE4" s="111">
        <f>IF(BB4,1,0)*BC4*BD4/4131</f>
        <v>0</v>
      </c>
      <c r="BF4" s="110" t="b">
        <v>0</v>
      </c>
      <c r="BG4" s="111">
        <v>0.15</v>
      </c>
      <c r="BH4" s="42">
        <v>0</v>
      </c>
      <c r="BI4" s="111">
        <f>IF(BF4,1,0)*BG4*BH4/4131</f>
        <v>0</v>
      </c>
      <c r="BJ4" s="110" t="b">
        <v>0</v>
      </c>
      <c r="BK4" s="111">
        <v>-1</v>
      </c>
      <c r="BL4" s="42">
        <v>0</v>
      </c>
      <c r="BM4" s="111">
        <f>IF(BJ4,1,0)*BK4*BL4/4131</f>
        <v>0</v>
      </c>
      <c r="BN4" s="111">
        <f>SUM(BM4,BI4,BE4,BA4,AW4,AS4,AO4,AK4,AG4,AC4,Y4)</f>
        <v>0</v>
      </c>
    </row>
    <row r="5" spans="1:66" ht="13.5" thickBot="1">
      <c r="A5" s="24">
        <v>2</v>
      </c>
      <c r="B5" s="29">
        <v>0.875</v>
      </c>
      <c r="C5" s="39"/>
      <c r="D5" s="36">
        <v>65000</v>
      </c>
      <c r="E5" s="33">
        <v>11</v>
      </c>
      <c r="F5" s="36">
        <v>65000</v>
      </c>
      <c r="G5" s="33">
        <v>11.2</v>
      </c>
      <c r="H5" s="36">
        <v>65000</v>
      </c>
      <c r="I5" s="33">
        <v>11</v>
      </c>
      <c r="J5" s="33">
        <v>3.3</v>
      </c>
      <c r="K5" s="75"/>
      <c r="L5" s="33" t="s">
        <v>71</v>
      </c>
      <c r="M5" s="31">
        <v>0.3</v>
      </c>
      <c r="N5" s="31">
        <v>0.5</v>
      </c>
      <c r="O5" s="32">
        <v>50</v>
      </c>
      <c r="P5" s="32">
        <v>255</v>
      </c>
      <c r="Q5" s="32">
        <v>875</v>
      </c>
      <c r="R5" s="33" t="b">
        <v>0</v>
      </c>
      <c r="S5" s="33" t="s">
        <v>267</v>
      </c>
      <c r="T5" s="78"/>
      <c r="U5" s="78"/>
    </row>
    <row r="6" spans="1:66" ht="13.5" thickBot="1">
      <c r="A6" s="24">
        <v>3</v>
      </c>
      <c r="B6" s="29">
        <v>0.875</v>
      </c>
      <c r="C6" s="39"/>
      <c r="D6" s="36">
        <v>135000</v>
      </c>
      <c r="E6" s="33">
        <v>10.8</v>
      </c>
      <c r="F6" s="36">
        <v>135000</v>
      </c>
      <c r="G6" s="33">
        <v>11</v>
      </c>
      <c r="H6" s="36">
        <v>135000</v>
      </c>
      <c r="I6" s="33">
        <v>10.6</v>
      </c>
      <c r="J6" s="33">
        <v>3.2</v>
      </c>
      <c r="K6" s="75"/>
      <c r="L6" s="33" t="s">
        <v>72</v>
      </c>
      <c r="M6" s="31">
        <v>0.9</v>
      </c>
      <c r="N6" s="31">
        <v>1</v>
      </c>
      <c r="O6" s="32">
        <v>7</v>
      </c>
      <c r="P6" s="32">
        <v>245</v>
      </c>
      <c r="Q6" s="32">
        <v>105</v>
      </c>
      <c r="R6" s="33" t="b">
        <v>0</v>
      </c>
      <c r="S6" s="33" t="s">
        <v>267</v>
      </c>
      <c r="T6" s="78"/>
      <c r="U6" s="78"/>
    </row>
    <row r="7" spans="1:66" ht="15.75" thickBot="1">
      <c r="A7" s="24">
        <v>5</v>
      </c>
      <c r="B7" s="29">
        <v>0.89500000000000002</v>
      </c>
      <c r="C7" s="39"/>
      <c r="D7" s="36">
        <v>240000</v>
      </c>
      <c r="E7" s="33">
        <v>9.8000000000000007</v>
      </c>
      <c r="F7" s="36">
        <v>240000</v>
      </c>
      <c r="G7" s="33">
        <v>10</v>
      </c>
      <c r="H7" s="36">
        <v>240000</v>
      </c>
      <c r="I7" s="33">
        <v>9.5</v>
      </c>
      <c r="J7" s="33">
        <v>3.2</v>
      </c>
      <c r="K7" s="75"/>
      <c r="L7" s="33" t="s">
        <v>73</v>
      </c>
      <c r="M7" s="31">
        <v>0.4</v>
      </c>
      <c r="N7" s="31">
        <v>0.5</v>
      </c>
      <c r="O7" s="32">
        <v>50</v>
      </c>
      <c r="P7" s="32">
        <v>255</v>
      </c>
      <c r="Q7" s="32">
        <v>875</v>
      </c>
      <c r="R7" s="33" t="b">
        <v>0</v>
      </c>
      <c r="S7" s="33" t="s">
        <v>267</v>
      </c>
      <c r="T7" s="78"/>
      <c r="U7" s="78"/>
      <c r="V7" s="1"/>
      <c r="W7" s="77"/>
    </row>
    <row r="8" spans="1:66" ht="15.75" thickBot="1">
      <c r="A8" s="24">
        <v>7.5</v>
      </c>
      <c r="B8" s="29">
        <v>0.89500000000000002</v>
      </c>
      <c r="C8" s="39"/>
      <c r="D8" s="36">
        <v>760000</v>
      </c>
      <c r="E8" s="33">
        <v>9.5</v>
      </c>
      <c r="F8" s="36">
        <v>760000</v>
      </c>
      <c r="G8" s="33">
        <v>9.6999999999999993</v>
      </c>
      <c r="H8" s="39"/>
      <c r="I8" s="39"/>
      <c r="J8" s="39"/>
      <c r="K8" s="39"/>
      <c r="L8" s="33" t="s">
        <v>74</v>
      </c>
      <c r="M8" s="31">
        <v>0.4</v>
      </c>
      <c r="N8" s="31">
        <v>1</v>
      </c>
      <c r="O8" s="32">
        <v>7</v>
      </c>
      <c r="P8" s="32">
        <v>245</v>
      </c>
      <c r="Q8" s="32">
        <v>105</v>
      </c>
      <c r="R8" s="33" t="b">
        <v>0</v>
      </c>
      <c r="S8" s="33" t="s">
        <v>267</v>
      </c>
      <c r="T8" s="78"/>
      <c r="U8" s="78"/>
      <c r="V8" s="1"/>
      <c r="W8" s="77"/>
    </row>
    <row r="9" spans="1:66" ht="15.75" thickBot="1">
      <c r="A9" s="24">
        <v>10</v>
      </c>
      <c r="B9" s="29">
        <v>0.91</v>
      </c>
      <c r="C9" s="39"/>
      <c r="D9" s="39"/>
      <c r="E9" s="39"/>
      <c r="F9" s="39"/>
      <c r="G9" s="39"/>
      <c r="H9" s="39"/>
      <c r="I9" s="39"/>
      <c r="J9" s="39"/>
      <c r="K9" s="39"/>
      <c r="L9" s="33" t="s">
        <v>75</v>
      </c>
      <c r="M9" s="31">
        <v>0.7</v>
      </c>
      <c r="N9" s="31">
        <v>1</v>
      </c>
      <c r="O9" s="32">
        <v>7</v>
      </c>
      <c r="P9" s="32">
        <v>245</v>
      </c>
      <c r="Q9" s="32">
        <v>105</v>
      </c>
      <c r="R9" s="33" t="b">
        <v>0</v>
      </c>
      <c r="S9" s="33" t="s">
        <v>267</v>
      </c>
      <c r="T9" s="78"/>
      <c r="U9" s="78"/>
      <c r="V9" s="1"/>
      <c r="W9" s="77"/>
    </row>
    <row r="10" spans="1:66" ht="15.75" thickBot="1">
      <c r="A10" s="24">
        <v>15</v>
      </c>
      <c r="B10" s="29">
        <v>0.91</v>
      </c>
      <c r="C10" s="39"/>
      <c r="F10" s="39"/>
      <c r="G10" s="39"/>
      <c r="H10" s="39"/>
      <c r="I10" s="39"/>
      <c r="J10" s="39"/>
      <c r="K10" s="39"/>
      <c r="L10" s="33" t="s">
        <v>76</v>
      </c>
      <c r="M10" s="31">
        <v>1.7</v>
      </c>
      <c r="N10" s="31">
        <v>0.5</v>
      </c>
      <c r="O10" s="32">
        <v>7</v>
      </c>
      <c r="P10" s="32">
        <v>245</v>
      </c>
      <c r="Q10" s="32">
        <v>105</v>
      </c>
      <c r="R10" s="33" t="b">
        <v>0</v>
      </c>
      <c r="S10" s="33" t="s">
        <v>267</v>
      </c>
      <c r="T10" s="78"/>
      <c r="U10" s="78"/>
      <c r="V10" s="1"/>
      <c r="W10" s="77"/>
    </row>
    <row r="11" spans="1:66" ht="15.75" thickBot="1">
      <c r="A11" s="24">
        <v>20</v>
      </c>
      <c r="B11" s="29">
        <v>0.92400000000000004</v>
      </c>
      <c r="C11" s="39"/>
      <c r="D11" s="27" t="s">
        <v>312</v>
      </c>
      <c r="E11" s="34" t="s">
        <v>313</v>
      </c>
      <c r="F11" s="39"/>
      <c r="G11" s="39"/>
      <c r="H11" s="39"/>
      <c r="I11" s="39"/>
      <c r="J11" s="39"/>
      <c r="K11" s="39"/>
      <c r="L11" s="33" t="s">
        <v>77</v>
      </c>
      <c r="M11" s="31">
        <v>0.7</v>
      </c>
      <c r="N11" s="31">
        <v>1</v>
      </c>
      <c r="O11" s="32">
        <v>100</v>
      </c>
      <c r="P11" s="32">
        <v>275</v>
      </c>
      <c r="Q11" s="32">
        <v>475</v>
      </c>
      <c r="R11" s="33" t="b">
        <v>0</v>
      </c>
      <c r="S11" s="33" t="s">
        <v>272</v>
      </c>
      <c r="T11" s="78"/>
      <c r="U11" s="78"/>
      <c r="V11" s="1"/>
      <c r="W11" s="77"/>
    </row>
    <row r="12" spans="1:66" ht="15.75" thickBot="1">
      <c r="A12" s="24">
        <v>25</v>
      </c>
      <c r="B12" s="29">
        <v>0.92400000000000004</v>
      </c>
      <c r="C12" s="39"/>
      <c r="D12" s="33">
        <v>0</v>
      </c>
      <c r="E12" s="91">
        <v>0.2</v>
      </c>
      <c r="F12" s="39"/>
      <c r="G12" s="39"/>
      <c r="H12" s="39"/>
      <c r="I12" s="39"/>
      <c r="J12" s="39"/>
      <c r="K12" s="39"/>
      <c r="L12" s="33" t="s">
        <v>78</v>
      </c>
      <c r="M12" s="31">
        <v>1.5</v>
      </c>
      <c r="N12" s="31">
        <v>1.5</v>
      </c>
      <c r="O12" s="32">
        <v>100</v>
      </c>
      <c r="P12" s="32">
        <v>250</v>
      </c>
      <c r="Q12" s="32">
        <v>250</v>
      </c>
      <c r="R12" s="33" t="b">
        <v>0</v>
      </c>
      <c r="S12" s="33" t="s">
        <v>244</v>
      </c>
      <c r="T12" s="78"/>
      <c r="U12" s="78"/>
      <c r="V12" s="1"/>
      <c r="W12" s="77"/>
    </row>
    <row r="13" spans="1:66" ht="15.75" thickBot="1">
      <c r="A13" s="24">
        <v>30</v>
      </c>
      <c r="B13" s="29">
        <v>0.93</v>
      </c>
      <c r="C13" s="39"/>
      <c r="D13" s="36">
        <v>70001</v>
      </c>
      <c r="E13" s="91">
        <v>0.25</v>
      </c>
      <c r="F13" s="39"/>
      <c r="G13" s="39"/>
      <c r="H13" s="39"/>
      <c r="I13" s="39"/>
      <c r="J13" s="39"/>
      <c r="K13" s="39"/>
      <c r="L13" s="33" t="s">
        <v>79</v>
      </c>
      <c r="M13" s="31">
        <v>0.9</v>
      </c>
      <c r="N13" s="31">
        <v>0.2</v>
      </c>
      <c r="O13" s="32">
        <v>100</v>
      </c>
      <c r="P13" s="32">
        <v>250</v>
      </c>
      <c r="Q13" s="32">
        <v>250</v>
      </c>
      <c r="R13" s="33" t="b">
        <v>0</v>
      </c>
      <c r="S13" s="33" t="s">
        <v>68</v>
      </c>
      <c r="T13" s="78"/>
      <c r="U13" s="78"/>
      <c r="V13" s="1"/>
      <c r="W13" s="77"/>
    </row>
    <row r="14" spans="1:66" ht="15.75" thickBot="1">
      <c r="A14" s="24">
        <v>40</v>
      </c>
      <c r="B14" s="29">
        <v>0.93</v>
      </c>
      <c r="C14" s="39"/>
      <c r="D14" s="36">
        <v>105001</v>
      </c>
      <c r="E14" s="91">
        <v>0.3</v>
      </c>
      <c r="F14" s="39"/>
      <c r="G14" s="39"/>
      <c r="H14" s="39"/>
      <c r="I14" s="39"/>
      <c r="J14" s="39"/>
      <c r="K14" s="39"/>
      <c r="L14" s="33" t="s">
        <v>80</v>
      </c>
      <c r="M14" s="31">
        <v>1.9</v>
      </c>
      <c r="N14" s="31">
        <v>1.5</v>
      </c>
      <c r="O14" s="32">
        <v>40</v>
      </c>
      <c r="P14" s="32">
        <v>250</v>
      </c>
      <c r="Q14" s="32">
        <v>200</v>
      </c>
      <c r="R14" s="33" t="b">
        <v>0</v>
      </c>
      <c r="S14" s="33" t="s">
        <v>267</v>
      </c>
      <c r="T14" s="78"/>
      <c r="U14" s="78"/>
      <c r="V14" s="1"/>
      <c r="W14" s="77"/>
    </row>
    <row r="15" spans="1:66" ht="15.75" thickBot="1">
      <c r="A15" s="24">
        <v>50</v>
      </c>
      <c r="B15" s="29">
        <v>0.93</v>
      </c>
      <c r="C15" s="39"/>
      <c r="D15" s="36">
        <v>134001</v>
      </c>
      <c r="E15" s="91">
        <v>0.35</v>
      </c>
      <c r="F15" s="39"/>
      <c r="G15" s="39"/>
      <c r="H15" s="39"/>
      <c r="I15" s="39"/>
      <c r="J15" s="39"/>
      <c r="K15" s="39"/>
      <c r="L15" s="33" t="s">
        <v>81</v>
      </c>
      <c r="M15" s="31">
        <v>1.3</v>
      </c>
      <c r="N15" s="31">
        <v>1.5</v>
      </c>
      <c r="O15" s="32">
        <v>100</v>
      </c>
      <c r="P15" s="32">
        <v>250</v>
      </c>
      <c r="Q15" s="32">
        <v>200</v>
      </c>
      <c r="R15" s="33" t="b">
        <v>0</v>
      </c>
      <c r="S15" s="33" t="s">
        <v>68</v>
      </c>
      <c r="T15" s="78"/>
      <c r="U15" s="78"/>
      <c r="V15" s="1"/>
      <c r="W15" s="77"/>
    </row>
    <row r="16" spans="1:66" ht="15.75" thickBot="1">
      <c r="A16" s="24">
        <v>60</v>
      </c>
      <c r="B16" s="29">
        <v>0.94099999999999995</v>
      </c>
      <c r="C16" s="39"/>
      <c r="D16" s="36">
        <v>210001</v>
      </c>
      <c r="E16" s="91">
        <v>0.4</v>
      </c>
      <c r="F16" s="39"/>
      <c r="G16" s="39"/>
      <c r="H16" s="39"/>
      <c r="I16" s="39"/>
      <c r="J16" s="39"/>
      <c r="K16" s="39"/>
      <c r="L16" s="33" t="s">
        <v>156</v>
      </c>
      <c r="M16" s="31">
        <v>1.4</v>
      </c>
      <c r="N16" s="31">
        <v>1</v>
      </c>
      <c r="O16" s="32">
        <v>20</v>
      </c>
      <c r="P16" s="32">
        <v>245</v>
      </c>
      <c r="Q16" s="32">
        <v>155</v>
      </c>
      <c r="R16" s="33" t="b">
        <v>0</v>
      </c>
      <c r="S16" s="33" t="s">
        <v>266</v>
      </c>
      <c r="T16" s="78"/>
      <c r="U16" s="78"/>
      <c r="V16" s="1"/>
      <c r="W16" s="77"/>
    </row>
    <row r="17" spans="1:23" ht="15.75" thickBot="1">
      <c r="A17" s="24">
        <v>75</v>
      </c>
      <c r="B17" s="29">
        <v>0.94499999999999995</v>
      </c>
      <c r="C17" s="39"/>
      <c r="D17" s="36">
        <v>280001</v>
      </c>
      <c r="E17" s="91">
        <v>0.45</v>
      </c>
      <c r="F17" s="39"/>
      <c r="G17" s="39"/>
      <c r="H17" s="39"/>
      <c r="I17" s="39"/>
      <c r="J17" s="39"/>
      <c r="K17" s="39"/>
      <c r="L17" s="33" t="s">
        <v>82</v>
      </c>
      <c r="M17" s="31">
        <v>1.4</v>
      </c>
      <c r="N17" s="31">
        <v>1</v>
      </c>
      <c r="O17" s="32">
        <v>20</v>
      </c>
      <c r="P17" s="32">
        <v>245</v>
      </c>
      <c r="Q17" s="32">
        <v>155</v>
      </c>
      <c r="R17" s="33" t="b">
        <v>1</v>
      </c>
      <c r="S17" s="33" t="s">
        <v>266</v>
      </c>
      <c r="T17" s="78"/>
      <c r="U17" s="78"/>
      <c r="V17" s="1"/>
      <c r="W17" s="77"/>
    </row>
    <row r="18" spans="1:23" ht="15.75" thickBot="1">
      <c r="A18" s="24">
        <v>100</v>
      </c>
      <c r="B18" s="29">
        <v>0.94499999999999995</v>
      </c>
      <c r="C18" s="39"/>
      <c r="D18" s="36">
        <v>350001</v>
      </c>
      <c r="E18" s="91">
        <v>0.55000000000000004</v>
      </c>
      <c r="F18" s="39"/>
      <c r="G18" s="39"/>
      <c r="H18" s="39"/>
      <c r="I18" s="39"/>
      <c r="J18" s="39"/>
      <c r="K18" s="39"/>
      <c r="L18" s="33" t="s">
        <v>83</v>
      </c>
      <c r="M18" s="31">
        <v>1.3</v>
      </c>
      <c r="N18" s="31">
        <v>1</v>
      </c>
      <c r="O18" s="32">
        <v>20</v>
      </c>
      <c r="P18" s="32">
        <v>245</v>
      </c>
      <c r="Q18" s="32">
        <v>155</v>
      </c>
      <c r="R18" s="33" t="b">
        <v>1</v>
      </c>
      <c r="S18" s="33" t="s">
        <v>266</v>
      </c>
      <c r="T18" s="78"/>
      <c r="U18" s="78"/>
      <c r="V18" s="1"/>
      <c r="W18" s="77"/>
    </row>
    <row r="19" spans="1:23" ht="15.75" thickBot="1">
      <c r="A19" s="24">
        <v>125</v>
      </c>
      <c r="B19" s="29">
        <v>0.95</v>
      </c>
      <c r="C19" s="39"/>
      <c r="D19" s="36">
        <v>400001</v>
      </c>
      <c r="E19" s="91">
        <v>0.65</v>
      </c>
      <c r="F19" s="39"/>
      <c r="G19" s="39"/>
      <c r="H19" s="39"/>
      <c r="I19" s="39"/>
      <c r="J19" s="39"/>
      <c r="K19" s="39"/>
      <c r="L19" s="33" t="s">
        <v>84</v>
      </c>
      <c r="M19" s="31">
        <v>1.3</v>
      </c>
      <c r="N19" s="31">
        <v>1</v>
      </c>
      <c r="O19" s="32">
        <v>15</v>
      </c>
      <c r="P19" s="32">
        <v>245</v>
      </c>
      <c r="Q19" s="32">
        <v>155</v>
      </c>
      <c r="R19" s="33" t="b">
        <v>1</v>
      </c>
      <c r="S19" s="33" t="s">
        <v>267</v>
      </c>
      <c r="T19" s="78"/>
      <c r="U19" s="78"/>
      <c r="V19" s="1"/>
      <c r="W19" s="77"/>
    </row>
    <row r="20" spans="1:23" ht="15.75" thickBot="1">
      <c r="A20" s="24">
        <v>150</v>
      </c>
      <c r="B20" s="29">
        <v>0.95</v>
      </c>
      <c r="C20" s="39"/>
      <c r="D20" s="36">
        <v>500001</v>
      </c>
      <c r="E20" s="91">
        <v>0.75</v>
      </c>
      <c r="F20" s="39"/>
      <c r="G20" s="39"/>
      <c r="H20" s="39"/>
      <c r="I20" s="39"/>
      <c r="J20" s="39"/>
      <c r="K20" s="39"/>
      <c r="L20" s="33" t="s">
        <v>162</v>
      </c>
      <c r="M20" s="31">
        <v>0.7</v>
      </c>
      <c r="N20" s="31">
        <v>1</v>
      </c>
      <c r="O20" s="32">
        <v>7</v>
      </c>
      <c r="P20" s="32">
        <v>245</v>
      </c>
      <c r="Q20" s="32">
        <v>105</v>
      </c>
      <c r="R20" s="33" t="b">
        <v>0</v>
      </c>
      <c r="S20" s="33" t="s">
        <v>267</v>
      </c>
      <c r="T20" s="78"/>
      <c r="U20" s="78"/>
      <c r="V20" s="1"/>
      <c r="W20" s="77"/>
    </row>
    <row r="21" spans="1:23" ht="15.75" thickBot="1">
      <c r="A21" s="24">
        <v>200</v>
      </c>
      <c r="B21" s="29">
        <v>0.95</v>
      </c>
      <c r="C21" s="39"/>
      <c r="D21" s="76"/>
      <c r="E21" s="39"/>
      <c r="F21" s="39"/>
      <c r="G21" s="39"/>
      <c r="H21" s="39"/>
      <c r="I21" s="39"/>
      <c r="J21" s="39"/>
      <c r="K21" s="39"/>
      <c r="L21" s="33" t="s">
        <v>163</v>
      </c>
      <c r="M21" s="31">
        <v>1.3</v>
      </c>
      <c r="N21" s="31">
        <v>1</v>
      </c>
      <c r="O21" s="32">
        <v>15</v>
      </c>
      <c r="P21" s="32">
        <v>245</v>
      </c>
      <c r="Q21" s="32">
        <v>155</v>
      </c>
      <c r="R21" s="33" t="b">
        <v>0</v>
      </c>
      <c r="S21" s="33" t="s">
        <v>267</v>
      </c>
      <c r="T21" s="78"/>
      <c r="U21" s="78"/>
      <c r="V21" s="1"/>
      <c r="W21" s="77"/>
    </row>
    <row r="22" spans="1:23" ht="15.75" thickBot="1">
      <c r="A22" s="39"/>
      <c r="B22" s="39"/>
      <c r="C22" s="39"/>
      <c r="D22" s="76"/>
      <c r="E22" s="39"/>
      <c r="F22" s="39"/>
      <c r="G22" s="39"/>
      <c r="H22" s="39"/>
      <c r="I22" s="39"/>
      <c r="J22" s="39"/>
      <c r="K22" s="39"/>
      <c r="L22" s="33" t="s">
        <v>85</v>
      </c>
      <c r="M22" s="31">
        <v>0.5</v>
      </c>
      <c r="N22" s="31">
        <v>0.2</v>
      </c>
      <c r="O22" s="32">
        <v>100</v>
      </c>
      <c r="P22" s="32">
        <v>250</v>
      </c>
      <c r="Q22" s="32">
        <v>250</v>
      </c>
      <c r="R22" s="33" t="b">
        <v>0</v>
      </c>
      <c r="S22" s="33" t="s">
        <v>68</v>
      </c>
      <c r="T22" s="78"/>
      <c r="U22" s="78"/>
      <c r="V22" s="1"/>
      <c r="W22" s="77"/>
    </row>
    <row r="23" spans="1:23" ht="15.75" thickBot="1">
      <c r="A23" s="37" t="s">
        <v>6</v>
      </c>
      <c r="B23" s="39"/>
      <c r="C23" s="39"/>
      <c r="D23" s="39"/>
      <c r="E23" s="39"/>
      <c r="F23" s="39"/>
      <c r="G23" s="39"/>
      <c r="H23" s="39"/>
      <c r="I23" s="39"/>
      <c r="J23" s="39"/>
      <c r="K23" s="39"/>
      <c r="L23" s="33" t="s">
        <v>86</v>
      </c>
      <c r="M23" s="31">
        <v>1</v>
      </c>
      <c r="N23" s="31">
        <v>0.2</v>
      </c>
      <c r="O23" s="32">
        <v>100</v>
      </c>
      <c r="P23" s="32">
        <v>250</v>
      </c>
      <c r="Q23" s="32">
        <v>250</v>
      </c>
      <c r="R23" s="33" t="b">
        <v>0</v>
      </c>
      <c r="S23" s="33" t="s">
        <v>269</v>
      </c>
      <c r="T23" s="78"/>
      <c r="U23" s="78"/>
      <c r="V23" s="1"/>
      <c r="W23" s="77"/>
    </row>
    <row r="24" spans="1:23" ht="15.75" customHeight="1" thickBot="1">
      <c r="A24" s="33" t="s">
        <v>53</v>
      </c>
      <c r="B24" s="39"/>
      <c r="C24" s="39"/>
      <c r="D24" s="39"/>
      <c r="E24" s="39"/>
      <c r="F24" s="39"/>
      <c r="G24" s="39"/>
      <c r="H24" s="39"/>
      <c r="I24" s="39"/>
      <c r="J24" s="39"/>
      <c r="K24" s="39"/>
      <c r="L24" s="33" t="s">
        <v>87</v>
      </c>
      <c r="M24" s="31">
        <v>0.5</v>
      </c>
      <c r="N24" s="31">
        <v>0.2</v>
      </c>
      <c r="O24" s="32">
        <v>100</v>
      </c>
      <c r="P24" s="32">
        <v>250</v>
      </c>
      <c r="Q24" s="32">
        <v>250</v>
      </c>
      <c r="R24" s="33" t="b">
        <v>0</v>
      </c>
      <c r="S24" s="33" t="s">
        <v>272</v>
      </c>
      <c r="T24" s="78"/>
      <c r="U24" s="78"/>
      <c r="V24" s="1"/>
      <c r="W24" s="77"/>
    </row>
    <row r="25" spans="1:23" ht="15.75" thickBot="1">
      <c r="A25" s="33" t="s">
        <v>54</v>
      </c>
      <c r="B25" s="39"/>
      <c r="C25" s="39"/>
      <c r="D25" s="39"/>
      <c r="E25" s="39"/>
      <c r="F25" s="39"/>
      <c r="G25" s="39"/>
      <c r="H25" s="39"/>
      <c r="I25" s="39"/>
      <c r="J25" s="39"/>
      <c r="K25" s="39"/>
      <c r="L25" s="33" t="s">
        <v>159</v>
      </c>
      <c r="M25" s="31">
        <v>1.4</v>
      </c>
      <c r="N25" s="31">
        <v>1</v>
      </c>
      <c r="O25" s="32">
        <v>15</v>
      </c>
      <c r="P25" s="32">
        <v>275</v>
      </c>
      <c r="Q25" s="32">
        <v>275</v>
      </c>
      <c r="R25" s="33" t="b">
        <v>0</v>
      </c>
      <c r="S25" s="33" t="s">
        <v>268</v>
      </c>
      <c r="T25" s="78"/>
      <c r="U25" s="78"/>
      <c r="V25" s="1"/>
      <c r="W25" s="77"/>
    </row>
    <row r="26" spans="1:23" ht="15.75" thickBot="1">
      <c r="A26" s="33" t="s">
        <v>55</v>
      </c>
      <c r="B26" s="39"/>
      <c r="C26" s="39"/>
      <c r="D26" s="39"/>
      <c r="E26" s="39"/>
      <c r="F26" s="39"/>
      <c r="G26" s="39"/>
      <c r="H26" s="39"/>
      <c r="I26" s="39"/>
      <c r="J26" s="39"/>
      <c r="K26" s="39"/>
      <c r="L26" s="33" t="s">
        <v>88</v>
      </c>
      <c r="M26" s="31">
        <v>2.1</v>
      </c>
      <c r="N26" s="31">
        <v>0.5</v>
      </c>
      <c r="O26" s="32">
        <v>15</v>
      </c>
      <c r="P26" s="32">
        <v>275</v>
      </c>
      <c r="Q26" s="32">
        <v>275</v>
      </c>
      <c r="R26" s="33" t="b">
        <v>0</v>
      </c>
      <c r="S26" s="33" t="s">
        <v>268</v>
      </c>
      <c r="T26" s="78"/>
      <c r="U26" s="78"/>
      <c r="V26" s="1"/>
      <c r="W26" s="77"/>
    </row>
    <row r="27" spans="1:23" ht="15.75" thickBot="1">
      <c r="A27" s="33" t="s">
        <v>56</v>
      </c>
      <c r="B27" s="39"/>
      <c r="C27" s="39"/>
      <c r="D27" s="39"/>
      <c r="E27" s="39"/>
      <c r="F27" s="39"/>
      <c r="G27" s="39"/>
      <c r="H27" s="39"/>
      <c r="I27" s="39"/>
      <c r="J27" s="39"/>
      <c r="K27" s="39"/>
      <c r="L27" s="33" t="s">
        <v>89</v>
      </c>
      <c r="M27" s="31">
        <v>0.9</v>
      </c>
      <c r="N27" s="31">
        <v>0.5</v>
      </c>
      <c r="O27" s="32">
        <v>15</v>
      </c>
      <c r="P27" s="32">
        <v>275</v>
      </c>
      <c r="Q27" s="32">
        <v>275</v>
      </c>
      <c r="R27" s="33" t="b">
        <v>0</v>
      </c>
      <c r="S27" s="33" t="s">
        <v>268</v>
      </c>
      <c r="T27" s="78"/>
      <c r="U27" s="78"/>
      <c r="V27" s="1"/>
      <c r="W27" s="77"/>
    </row>
    <row r="28" spans="1:23" ht="15.75" thickBot="1">
      <c r="A28" s="33" t="s">
        <v>40</v>
      </c>
      <c r="B28" s="39"/>
      <c r="C28" s="39"/>
      <c r="D28" s="39"/>
      <c r="E28" s="39"/>
      <c r="F28" s="39"/>
      <c r="G28" s="39"/>
      <c r="H28" s="39"/>
      <c r="I28" s="39"/>
      <c r="J28" s="39"/>
      <c r="K28" s="39"/>
      <c r="L28" s="33" t="s">
        <v>90</v>
      </c>
      <c r="M28" s="31">
        <v>1.3</v>
      </c>
      <c r="N28" s="31">
        <v>0.5</v>
      </c>
      <c r="O28" s="32">
        <v>15</v>
      </c>
      <c r="P28" s="32">
        <v>275</v>
      </c>
      <c r="Q28" s="32">
        <v>275</v>
      </c>
      <c r="R28" s="33" t="b">
        <v>0</v>
      </c>
      <c r="S28" s="33" t="s">
        <v>268</v>
      </c>
      <c r="T28" s="78"/>
      <c r="U28" s="78"/>
      <c r="V28" s="1"/>
      <c r="W28" s="77"/>
    </row>
    <row r="29" spans="1:23" ht="15.75" thickBot="1">
      <c r="A29" s="33" t="s">
        <v>41</v>
      </c>
      <c r="B29" s="39"/>
      <c r="C29" s="39"/>
      <c r="D29" s="39"/>
      <c r="E29" s="39"/>
      <c r="F29" s="39"/>
      <c r="G29" s="39"/>
      <c r="H29" s="39"/>
      <c r="I29" s="39"/>
      <c r="J29" s="39"/>
      <c r="K29" s="39"/>
      <c r="L29" s="33" t="s">
        <v>91</v>
      </c>
      <c r="M29" s="31">
        <v>1.2</v>
      </c>
      <c r="N29" s="31">
        <v>0.5</v>
      </c>
      <c r="O29" s="32">
        <v>15</v>
      </c>
      <c r="P29" s="32">
        <v>275</v>
      </c>
      <c r="Q29" s="32">
        <v>275</v>
      </c>
      <c r="R29" s="33" t="b">
        <v>0</v>
      </c>
      <c r="S29" s="33" t="s">
        <v>268</v>
      </c>
      <c r="T29" s="78"/>
      <c r="U29" s="78"/>
      <c r="V29" s="1"/>
      <c r="W29" s="77"/>
    </row>
    <row r="30" spans="1:23" ht="15.75" thickBot="1">
      <c r="A30" s="33" t="s">
        <v>33</v>
      </c>
      <c r="B30" s="39"/>
      <c r="C30" s="39"/>
      <c r="D30" s="39"/>
      <c r="E30" s="39"/>
      <c r="F30" s="39"/>
      <c r="G30" s="39"/>
      <c r="H30" s="39"/>
      <c r="I30" s="39"/>
      <c r="J30" s="39"/>
      <c r="K30" s="39"/>
      <c r="L30" s="33" t="s">
        <v>273</v>
      </c>
      <c r="M30" s="31">
        <v>1.3</v>
      </c>
      <c r="N30" s="31">
        <v>0.5</v>
      </c>
      <c r="O30" s="32">
        <v>15</v>
      </c>
      <c r="P30" s="32">
        <v>275</v>
      </c>
      <c r="Q30" s="32">
        <v>275</v>
      </c>
      <c r="R30" s="33" t="b">
        <v>0</v>
      </c>
      <c r="S30" s="33" t="s">
        <v>268</v>
      </c>
      <c r="T30" s="78"/>
      <c r="U30" s="78"/>
      <c r="V30" s="1"/>
      <c r="W30" s="77"/>
    </row>
    <row r="31" spans="1:23" ht="15.75" thickBot="1">
      <c r="A31" s="33" t="s">
        <v>34</v>
      </c>
      <c r="B31" s="39"/>
      <c r="C31" s="39"/>
      <c r="D31" s="39"/>
      <c r="E31" s="39"/>
      <c r="F31" s="39"/>
      <c r="G31" s="39"/>
      <c r="H31" s="39"/>
      <c r="I31" s="39"/>
      <c r="J31" s="39"/>
      <c r="K31" s="39"/>
      <c r="L31" s="33" t="s">
        <v>92</v>
      </c>
      <c r="M31" s="31">
        <v>1.1000000000000001</v>
      </c>
      <c r="N31" s="31">
        <v>0.5</v>
      </c>
      <c r="O31" s="32">
        <v>100</v>
      </c>
      <c r="P31" s="32">
        <v>250</v>
      </c>
      <c r="Q31" s="32">
        <v>250</v>
      </c>
      <c r="R31" s="33" t="b">
        <v>0</v>
      </c>
      <c r="S31" s="33" t="s">
        <v>270</v>
      </c>
      <c r="T31" s="78"/>
      <c r="U31" s="78"/>
      <c r="V31" s="1"/>
      <c r="W31" s="77"/>
    </row>
    <row r="32" spans="1:23" ht="15.75" thickBot="1">
      <c r="A32" s="33" t="s">
        <v>35</v>
      </c>
      <c r="B32" s="39"/>
      <c r="C32" s="39"/>
      <c r="D32" s="39"/>
      <c r="E32" s="39"/>
      <c r="F32" s="39"/>
      <c r="G32" s="39"/>
      <c r="H32" s="39"/>
      <c r="I32" s="39"/>
      <c r="J32" s="39"/>
      <c r="K32" s="39"/>
      <c r="L32" s="33" t="s">
        <v>93</v>
      </c>
      <c r="M32" s="31">
        <v>0.6</v>
      </c>
      <c r="N32" s="31">
        <v>0.5</v>
      </c>
      <c r="O32" s="32">
        <v>50</v>
      </c>
      <c r="P32" s="32">
        <v>255</v>
      </c>
      <c r="Q32" s="32">
        <v>475</v>
      </c>
      <c r="R32" s="33" t="b">
        <v>0</v>
      </c>
      <c r="S32" s="33" t="s">
        <v>68</v>
      </c>
      <c r="T32" s="78"/>
      <c r="U32" s="78"/>
      <c r="V32" s="1"/>
      <c r="W32" s="77"/>
    </row>
    <row r="33" spans="1:23" ht="15.75" thickBot="1">
      <c r="A33" s="33" t="s">
        <v>36</v>
      </c>
      <c r="B33" s="39"/>
      <c r="C33" s="39"/>
      <c r="D33" s="39"/>
      <c r="E33" s="39"/>
      <c r="F33" s="39"/>
      <c r="G33" s="39"/>
      <c r="H33" s="39"/>
      <c r="I33" s="39"/>
      <c r="J33" s="39"/>
      <c r="K33" s="39"/>
      <c r="L33" s="33" t="s">
        <v>94</v>
      </c>
      <c r="M33" s="31">
        <v>1.5</v>
      </c>
      <c r="N33" s="31">
        <v>0.2</v>
      </c>
      <c r="O33" s="32">
        <v>333</v>
      </c>
      <c r="P33" s="32">
        <v>250</v>
      </c>
      <c r="Q33" s="32">
        <v>250</v>
      </c>
      <c r="R33" s="33" t="b">
        <v>0</v>
      </c>
      <c r="S33" s="33" t="s">
        <v>68</v>
      </c>
      <c r="T33" s="78"/>
      <c r="U33" s="78"/>
      <c r="V33" s="1"/>
      <c r="W33" s="77"/>
    </row>
    <row r="34" spans="1:23" ht="15.75" thickBot="1">
      <c r="A34" s="39"/>
      <c r="B34" s="39"/>
      <c r="C34" s="39"/>
      <c r="D34" s="39"/>
      <c r="E34" s="39"/>
      <c r="F34" s="39"/>
      <c r="G34" s="39"/>
      <c r="H34" s="39"/>
      <c r="I34" s="39"/>
      <c r="J34" s="39"/>
      <c r="K34" s="39"/>
      <c r="L34" s="33" t="s">
        <v>95</v>
      </c>
      <c r="M34" s="31">
        <v>0.8</v>
      </c>
      <c r="N34" s="31">
        <v>1.5</v>
      </c>
      <c r="O34" s="32">
        <v>100</v>
      </c>
      <c r="P34" s="32">
        <v>250</v>
      </c>
      <c r="Q34" s="32">
        <v>200</v>
      </c>
      <c r="R34" s="33" t="b">
        <v>0</v>
      </c>
      <c r="S34" s="33" t="s">
        <v>68</v>
      </c>
      <c r="T34" s="78"/>
      <c r="U34" s="78"/>
      <c r="V34" s="1"/>
      <c r="W34" s="77"/>
    </row>
    <row r="35" spans="1:23" ht="15.75" thickBot="1">
      <c r="A35" s="33" t="b">
        <v>1</v>
      </c>
      <c r="B35" s="39"/>
      <c r="C35" s="39"/>
      <c r="D35" s="39"/>
      <c r="E35" s="39"/>
      <c r="F35" s="39"/>
      <c r="G35" s="39"/>
      <c r="H35" s="39"/>
      <c r="I35" s="39"/>
      <c r="J35" s="39"/>
      <c r="K35" s="39"/>
      <c r="L35" s="33" t="s">
        <v>96</v>
      </c>
      <c r="M35" s="31">
        <v>0.3</v>
      </c>
      <c r="N35" s="31">
        <v>0.5</v>
      </c>
      <c r="O35" s="32">
        <v>100</v>
      </c>
      <c r="P35" s="32">
        <v>250</v>
      </c>
      <c r="Q35" s="32">
        <v>250</v>
      </c>
      <c r="R35" s="33" t="b">
        <v>0</v>
      </c>
      <c r="S35" s="33" t="s">
        <v>270</v>
      </c>
      <c r="T35" s="78"/>
      <c r="U35" s="78"/>
      <c r="V35" s="1"/>
      <c r="W35" s="77"/>
    </row>
    <row r="36" spans="1:23" ht="15.75" thickBot="1">
      <c r="A36" s="33" t="b">
        <v>0</v>
      </c>
      <c r="B36" s="39"/>
      <c r="C36" s="39"/>
      <c r="D36" s="39"/>
      <c r="E36" s="39"/>
      <c r="F36" s="39"/>
      <c r="G36" s="39"/>
      <c r="H36" s="39"/>
      <c r="I36" s="39"/>
      <c r="J36" s="39"/>
      <c r="K36" s="39"/>
      <c r="L36" s="33" t="s">
        <v>97</v>
      </c>
      <c r="M36" s="31">
        <v>1.2</v>
      </c>
      <c r="N36" s="31">
        <v>1.5</v>
      </c>
      <c r="O36" s="32">
        <v>200</v>
      </c>
      <c r="P36" s="32">
        <v>275</v>
      </c>
      <c r="Q36" s="32">
        <v>475</v>
      </c>
      <c r="R36" s="33" t="b">
        <v>0</v>
      </c>
      <c r="S36" s="33" t="s">
        <v>268</v>
      </c>
      <c r="T36" s="78"/>
      <c r="U36" s="78"/>
      <c r="V36" s="1"/>
      <c r="W36" s="77"/>
    </row>
    <row r="37" spans="1:23" ht="15.75" thickBot="1">
      <c r="A37" s="39"/>
      <c r="B37" s="39"/>
      <c r="C37" s="39"/>
      <c r="D37" s="39"/>
      <c r="E37" s="39"/>
      <c r="F37" s="39"/>
      <c r="G37" s="39"/>
      <c r="H37" s="39"/>
      <c r="I37" s="39"/>
      <c r="J37" s="39"/>
      <c r="K37" s="39"/>
      <c r="L37" s="33" t="s">
        <v>98</v>
      </c>
      <c r="M37" s="31">
        <v>0.9</v>
      </c>
      <c r="N37" s="31">
        <v>0.5</v>
      </c>
      <c r="O37" s="32">
        <v>50</v>
      </c>
      <c r="P37" s="32">
        <v>255</v>
      </c>
      <c r="Q37" s="32">
        <v>875</v>
      </c>
      <c r="R37" s="33" t="b">
        <v>0</v>
      </c>
      <c r="S37" s="33" t="s">
        <v>68</v>
      </c>
      <c r="T37" s="78"/>
      <c r="U37" s="78"/>
      <c r="V37" s="1"/>
      <c r="W37" s="77"/>
    </row>
    <row r="38" spans="1:23" ht="15.75" thickBot="1">
      <c r="A38" s="33" t="s">
        <v>50</v>
      </c>
      <c r="B38" s="39"/>
      <c r="C38" s="39"/>
      <c r="D38" s="39"/>
      <c r="E38" s="39"/>
      <c r="F38" s="39"/>
      <c r="G38" s="39"/>
      <c r="H38" s="39"/>
      <c r="I38" s="39"/>
      <c r="J38" s="39"/>
      <c r="K38" s="39"/>
      <c r="L38" s="33" t="s">
        <v>99</v>
      </c>
      <c r="M38" s="31">
        <v>1.4</v>
      </c>
      <c r="N38" s="31">
        <v>0.5</v>
      </c>
      <c r="O38" s="32">
        <v>50</v>
      </c>
      <c r="P38" s="32">
        <v>255</v>
      </c>
      <c r="Q38" s="32">
        <v>875</v>
      </c>
      <c r="R38" s="33" t="b">
        <v>0</v>
      </c>
      <c r="S38" s="33" t="s">
        <v>68</v>
      </c>
      <c r="T38" s="78"/>
      <c r="U38" s="78"/>
      <c r="V38" s="1"/>
      <c r="W38" s="77"/>
    </row>
    <row r="39" spans="1:23" ht="15.75" thickBot="1">
      <c r="A39" s="33" t="s">
        <v>51</v>
      </c>
      <c r="B39" s="39"/>
      <c r="C39" s="39"/>
      <c r="D39" s="39"/>
      <c r="E39" s="39"/>
      <c r="F39" s="39"/>
      <c r="G39" s="39"/>
      <c r="H39" s="39"/>
      <c r="I39" s="39"/>
      <c r="J39" s="39"/>
      <c r="K39" s="39"/>
      <c r="L39" s="33" t="s">
        <v>100</v>
      </c>
      <c r="M39" s="31">
        <v>1.1000000000000001</v>
      </c>
      <c r="N39" s="31">
        <v>0.5</v>
      </c>
      <c r="O39" s="32">
        <v>100</v>
      </c>
      <c r="P39" s="32">
        <v>250</v>
      </c>
      <c r="Q39" s="32">
        <v>250</v>
      </c>
      <c r="R39" s="33" t="b">
        <v>0</v>
      </c>
      <c r="S39" s="33" t="s">
        <v>270</v>
      </c>
      <c r="T39" s="78"/>
      <c r="U39" s="78"/>
      <c r="V39" s="1"/>
      <c r="W39" s="77"/>
    </row>
    <row r="40" spans="1:23" ht="15.75" thickBot="1">
      <c r="A40" s="39"/>
      <c r="B40" s="39"/>
      <c r="C40" s="39"/>
      <c r="D40" s="39"/>
      <c r="E40" s="39"/>
      <c r="F40" s="39"/>
      <c r="G40" s="39"/>
      <c r="H40" s="39"/>
      <c r="I40" s="39"/>
      <c r="J40" s="39"/>
      <c r="K40" s="39"/>
      <c r="L40" s="33" t="s">
        <v>168</v>
      </c>
      <c r="M40" s="31">
        <v>0.8</v>
      </c>
      <c r="N40" s="31">
        <v>0.5</v>
      </c>
      <c r="O40" s="32">
        <v>100</v>
      </c>
      <c r="P40" s="32">
        <v>250</v>
      </c>
      <c r="Q40" s="32">
        <v>250</v>
      </c>
      <c r="R40" s="33" t="b">
        <v>0</v>
      </c>
      <c r="S40" s="33" t="s">
        <v>269</v>
      </c>
      <c r="T40" s="78"/>
      <c r="U40" s="78"/>
      <c r="V40" s="1"/>
      <c r="W40" s="77"/>
    </row>
    <row r="41" spans="1:23" ht="15.75" thickBot="1">
      <c r="A41" s="37" t="s">
        <v>276</v>
      </c>
      <c r="B41" s="39"/>
      <c r="C41" s="39"/>
      <c r="D41" s="39"/>
      <c r="E41" s="39"/>
      <c r="F41" s="39"/>
      <c r="G41" s="39"/>
      <c r="H41" s="39"/>
      <c r="I41" s="39"/>
      <c r="J41" s="39"/>
      <c r="K41" s="39"/>
      <c r="L41" s="33" t="s">
        <v>101</v>
      </c>
      <c r="M41" s="31">
        <v>1.1000000000000001</v>
      </c>
      <c r="N41" s="31">
        <v>0.5</v>
      </c>
      <c r="O41" s="32">
        <v>200</v>
      </c>
      <c r="P41" s="32">
        <v>245</v>
      </c>
      <c r="Q41" s="32">
        <v>155</v>
      </c>
      <c r="R41" s="33" t="b">
        <v>0</v>
      </c>
      <c r="S41" s="33" t="s">
        <v>270</v>
      </c>
      <c r="T41" s="78"/>
      <c r="U41" s="78"/>
      <c r="V41" s="1"/>
      <c r="W41" s="77"/>
    </row>
    <row r="42" spans="1:23" ht="15.75" thickBot="1">
      <c r="A42" s="33" t="s">
        <v>277</v>
      </c>
      <c r="B42" s="39"/>
      <c r="C42" s="39"/>
      <c r="D42" s="39"/>
      <c r="E42" s="39"/>
      <c r="F42" s="39"/>
      <c r="G42" s="39"/>
      <c r="H42" s="39"/>
      <c r="I42" s="39"/>
      <c r="J42" s="39"/>
      <c r="K42" s="39"/>
      <c r="L42" s="33" t="s">
        <v>102</v>
      </c>
      <c r="M42" s="31">
        <v>1.4</v>
      </c>
      <c r="N42" s="31">
        <v>1</v>
      </c>
      <c r="O42" s="32">
        <v>100</v>
      </c>
      <c r="P42" s="32">
        <v>250</v>
      </c>
      <c r="Q42" s="32">
        <v>200</v>
      </c>
      <c r="R42" s="33" t="b">
        <v>0</v>
      </c>
      <c r="S42" s="33" t="s">
        <v>102</v>
      </c>
      <c r="T42" s="78"/>
      <c r="U42" s="78"/>
      <c r="V42" s="1"/>
      <c r="W42" s="77"/>
    </row>
    <row r="43" spans="1:23" ht="15.75" thickBot="1">
      <c r="A43" s="33" t="s">
        <v>278</v>
      </c>
      <c r="B43" s="39"/>
      <c r="C43" s="39"/>
      <c r="D43" s="39"/>
      <c r="E43" s="39"/>
      <c r="F43" s="39"/>
      <c r="G43" s="39"/>
      <c r="H43" s="39"/>
      <c r="I43" s="39"/>
      <c r="J43" s="39"/>
      <c r="K43" s="39"/>
      <c r="L43" s="33" t="s">
        <v>103</v>
      </c>
      <c r="M43" s="31">
        <v>0.6</v>
      </c>
      <c r="N43" s="31">
        <v>3</v>
      </c>
      <c r="O43" s="32">
        <v>100</v>
      </c>
      <c r="P43" s="32">
        <v>250</v>
      </c>
      <c r="Q43" s="32">
        <v>250</v>
      </c>
      <c r="R43" s="33" t="b">
        <v>0</v>
      </c>
      <c r="S43" s="33" t="s">
        <v>271</v>
      </c>
      <c r="T43" s="78"/>
      <c r="U43" s="78"/>
      <c r="V43" s="1"/>
      <c r="W43" s="77"/>
    </row>
    <row r="44" spans="1:23" ht="15.75" thickBot="1">
      <c r="A44" s="33" t="s">
        <v>279</v>
      </c>
      <c r="B44" s="39"/>
      <c r="C44" s="39"/>
      <c r="D44" s="39"/>
      <c r="E44" s="39"/>
      <c r="F44" s="39"/>
      <c r="G44" s="39"/>
      <c r="H44" s="39"/>
      <c r="I44" s="39"/>
      <c r="J44" s="39"/>
      <c r="K44" s="39"/>
      <c r="L44" s="33" t="s">
        <v>104</v>
      </c>
      <c r="M44" s="31">
        <v>1.1000000000000001</v>
      </c>
      <c r="N44" s="31">
        <v>1.5</v>
      </c>
      <c r="O44" s="32">
        <v>100</v>
      </c>
      <c r="P44" s="32">
        <v>250</v>
      </c>
      <c r="Q44" s="32">
        <v>200</v>
      </c>
      <c r="R44" s="33" t="b">
        <v>0</v>
      </c>
      <c r="S44" s="33" t="s">
        <v>267</v>
      </c>
      <c r="T44" s="78"/>
      <c r="U44" s="78"/>
      <c r="V44" s="1"/>
      <c r="W44" s="77"/>
    </row>
    <row r="45" spans="1:23" ht="15.75" thickBot="1">
      <c r="A45" s="33" t="s">
        <v>280</v>
      </c>
      <c r="B45" s="39"/>
      <c r="C45" s="39"/>
      <c r="D45" s="39"/>
      <c r="E45" s="39"/>
      <c r="F45" s="39"/>
      <c r="G45" s="39"/>
      <c r="H45" s="39"/>
      <c r="I45" s="39"/>
      <c r="J45" s="39"/>
      <c r="K45" s="39"/>
      <c r="L45" s="33" t="s">
        <v>105</v>
      </c>
      <c r="M45" s="31">
        <v>1.2</v>
      </c>
      <c r="N45" s="31">
        <v>1.5</v>
      </c>
      <c r="O45" s="32">
        <v>50</v>
      </c>
      <c r="P45" s="32">
        <v>250</v>
      </c>
      <c r="Q45" s="32">
        <v>200</v>
      </c>
      <c r="R45" s="33" t="b">
        <v>0</v>
      </c>
      <c r="S45" s="33" t="s">
        <v>267</v>
      </c>
      <c r="T45" s="78"/>
      <c r="U45" s="78"/>
      <c r="V45" s="1"/>
      <c r="W45" s="77"/>
    </row>
    <row r="46" spans="1:23" ht="15.75" thickBot="1">
      <c r="A46" s="33" t="s">
        <v>281</v>
      </c>
      <c r="B46" s="39"/>
      <c r="C46" s="39"/>
      <c r="D46" s="39"/>
      <c r="E46" s="39"/>
      <c r="F46" s="39"/>
      <c r="G46" s="39"/>
      <c r="H46" s="39"/>
      <c r="I46" s="39"/>
      <c r="J46" s="39"/>
      <c r="K46" s="39"/>
      <c r="L46" s="33" t="s">
        <v>106</v>
      </c>
      <c r="M46" s="31">
        <v>1.7</v>
      </c>
      <c r="N46" s="31">
        <v>1.5</v>
      </c>
      <c r="O46" s="32">
        <v>100</v>
      </c>
      <c r="P46" s="32">
        <v>250</v>
      </c>
      <c r="Q46" s="32">
        <v>200</v>
      </c>
      <c r="R46" s="33" t="b">
        <v>0</v>
      </c>
      <c r="S46" s="33" t="s">
        <v>267</v>
      </c>
      <c r="T46" s="78"/>
      <c r="U46" s="78"/>
      <c r="V46" s="1"/>
      <c r="W46" s="77"/>
    </row>
    <row r="47" spans="1:23" ht="15.75" thickBot="1">
      <c r="A47" s="33" t="s">
        <v>282</v>
      </c>
      <c r="B47" s="39"/>
      <c r="C47" s="39"/>
      <c r="D47" s="39"/>
      <c r="E47" s="39"/>
      <c r="F47" s="39"/>
      <c r="G47" s="39"/>
      <c r="H47" s="39"/>
      <c r="I47" s="39"/>
      <c r="J47" s="39"/>
      <c r="K47" s="39"/>
      <c r="L47" s="33" t="s">
        <v>107</v>
      </c>
      <c r="M47" s="31">
        <v>1.3</v>
      </c>
      <c r="N47" s="31">
        <v>0.5</v>
      </c>
      <c r="O47" s="32">
        <v>100</v>
      </c>
      <c r="P47" s="32">
        <v>250</v>
      </c>
      <c r="Q47" s="32">
        <v>250</v>
      </c>
      <c r="R47" s="33" t="b">
        <v>0</v>
      </c>
      <c r="S47" s="33" t="s">
        <v>267</v>
      </c>
      <c r="T47" s="78"/>
      <c r="U47" s="78"/>
      <c r="V47" s="1"/>
      <c r="W47" s="77"/>
    </row>
    <row r="48" spans="1:23" ht="15.75" thickBot="1">
      <c r="A48" s="33" t="s">
        <v>283</v>
      </c>
      <c r="B48" s="39"/>
      <c r="C48" s="39"/>
      <c r="D48" s="39"/>
      <c r="E48" s="39"/>
      <c r="F48" s="39"/>
      <c r="G48" s="39"/>
      <c r="H48" s="39"/>
      <c r="I48" s="39"/>
      <c r="J48" s="39"/>
      <c r="K48" s="39"/>
      <c r="L48" s="33" t="s">
        <v>108</v>
      </c>
      <c r="M48" s="31">
        <v>1.1000000000000001</v>
      </c>
      <c r="N48" s="31">
        <v>0.5</v>
      </c>
      <c r="O48" s="32">
        <v>100</v>
      </c>
      <c r="P48" s="32">
        <v>250</v>
      </c>
      <c r="Q48" s="32">
        <v>250</v>
      </c>
      <c r="R48" s="33" t="b">
        <v>0</v>
      </c>
      <c r="S48" s="33" t="s">
        <v>270</v>
      </c>
      <c r="T48" s="78"/>
      <c r="U48" s="78"/>
      <c r="V48" s="1"/>
      <c r="W48" s="77"/>
    </row>
    <row r="49" spans="1:23" ht="15.75" thickBot="1">
      <c r="A49" s="33" t="s">
        <v>284</v>
      </c>
      <c r="B49" s="39"/>
      <c r="C49" s="39"/>
      <c r="D49" s="39"/>
      <c r="E49" s="39"/>
      <c r="F49" s="39"/>
      <c r="G49" s="39"/>
      <c r="H49" s="39"/>
      <c r="I49" s="39"/>
      <c r="J49" s="39"/>
      <c r="K49" s="39"/>
      <c r="L49" s="33" t="s">
        <v>109</v>
      </c>
      <c r="M49" s="31">
        <v>1.1000000000000001</v>
      </c>
      <c r="N49" s="31">
        <v>0.5</v>
      </c>
      <c r="O49" s="32">
        <v>100</v>
      </c>
      <c r="P49" s="32">
        <v>250</v>
      </c>
      <c r="Q49" s="32">
        <v>250</v>
      </c>
      <c r="R49" s="33" t="b">
        <v>0</v>
      </c>
      <c r="S49" s="33" t="s">
        <v>267</v>
      </c>
      <c r="T49" s="78"/>
      <c r="U49" s="78"/>
      <c r="V49" s="1"/>
      <c r="W49" s="77"/>
    </row>
    <row r="50" spans="1:23" ht="15.75" thickBot="1">
      <c r="A50" s="33" t="s">
        <v>286</v>
      </c>
      <c r="B50" s="39"/>
      <c r="C50" s="39"/>
      <c r="D50" s="39"/>
      <c r="E50" s="39"/>
      <c r="F50" s="39"/>
      <c r="G50" s="39"/>
      <c r="H50" s="39"/>
      <c r="I50" s="39"/>
      <c r="J50" s="39"/>
      <c r="K50" s="39"/>
      <c r="L50" s="33" t="s">
        <v>110</v>
      </c>
      <c r="M50" s="31">
        <v>3.3</v>
      </c>
      <c r="N50" s="31">
        <v>0.5</v>
      </c>
      <c r="O50" s="32">
        <v>100</v>
      </c>
      <c r="P50" s="32">
        <v>250</v>
      </c>
      <c r="Q50" s="32">
        <v>250</v>
      </c>
      <c r="R50" s="33" t="b">
        <v>0</v>
      </c>
      <c r="S50" s="33" t="s">
        <v>267</v>
      </c>
      <c r="T50" s="78"/>
      <c r="U50" s="78"/>
      <c r="V50" s="1"/>
      <c r="W50" s="77"/>
    </row>
    <row r="51" spans="1:23" ht="15.75" thickBot="1">
      <c r="A51" s="33" t="s">
        <v>285</v>
      </c>
      <c r="B51" s="39"/>
      <c r="C51" s="39"/>
      <c r="D51" s="39"/>
      <c r="E51" s="39"/>
      <c r="F51" s="39"/>
      <c r="G51" s="39"/>
      <c r="H51" s="39"/>
      <c r="I51" s="39"/>
      <c r="J51" s="39"/>
      <c r="K51" s="39"/>
      <c r="L51" s="33" t="s">
        <v>111</v>
      </c>
      <c r="M51" s="31">
        <v>1.2</v>
      </c>
      <c r="N51" s="31">
        <v>1</v>
      </c>
      <c r="O51" s="32">
        <v>15</v>
      </c>
      <c r="P51" s="32">
        <v>275</v>
      </c>
      <c r="Q51" s="32">
        <v>275</v>
      </c>
      <c r="R51" s="33" t="b">
        <v>0</v>
      </c>
      <c r="S51" s="33" t="s">
        <v>267</v>
      </c>
      <c r="T51" s="78"/>
      <c r="U51" s="78"/>
      <c r="V51" s="1"/>
      <c r="W51" s="77"/>
    </row>
    <row r="52" spans="1:23" ht="15.75" thickBot="1">
      <c r="A52" s="33" t="s">
        <v>287</v>
      </c>
      <c r="B52" s="39"/>
      <c r="C52" s="39"/>
      <c r="D52" s="39"/>
      <c r="E52" s="39"/>
      <c r="F52" s="39"/>
      <c r="G52" s="39"/>
      <c r="H52" s="39"/>
      <c r="I52" s="39"/>
      <c r="J52" s="39"/>
      <c r="K52" s="39"/>
      <c r="L52" s="33" t="s">
        <v>167</v>
      </c>
      <c r="M52" s="31">
        <v>1.2</v>
      </c>
      <c r="N52" s="31">
        <v>0.2</v>
      </c>
      <c r="O52" s="32">
        <v>333</v>
      </c>
      <c r="P52" s="32">
        <v>250</v>
      </c>
      <c r="Q52" s="32">
        <v>250</v>
      </c>
      <c r="R52" s="33" t="b">
        <v>0</v>
      </c>
      <c r="S52" s="33" t="s">
        <v>272</v>
      </c>
      <c r="T52" s="78"/>
      <c r="U52" s="78"/>
      <c r="V52" s="1"/>
      <c r="W52" s="77"/>
    </row>
    <row r="53" spans="1:23" ht="15.75" thickBot="1">
      <c r="A53" s="39"/>
      <c r="B53" s="39"/>
      <c r="C53" s="39"/>
      <c r="D53" s="39"/>
      <c r="E53" s="39"/>
      <c r="F53" s="39"/>
      <c r="G53" s="39"/>
      <c r="H53" s="39"/>
      <c r="I53" s="39"/>
      <c r="J53" s="39"/>
      <c r="K53" s="39"/>
      <c r="L53" s="33" t="s">
        <v>112</v>
      </c>
      <c r="M53" s="31">
        <v>1.7</v>
      </c>
      <c r="N53" s="31">
        <v>1</v>
      </c>
      <c r="O53" s="32">
        <v>100</v>
      </c>
      <c r="P53" s="32">
        <v>275</v>
      </c>
      <c r="Q53" s="32">
        <v>475</v>
      </c>
      <c r="R53" s="33" t="b">
        <v>0</v>
      </c>
      <c r="S53" s="33" t="s">
        <v>272</v>
      </c>
      <c r="T53" s="78"/>
      <c r="U53" s="78"/>
      <c r="V53" s="1"/>
      <c r="W53" s="77"/>
    </row>
    <row r="54" spans="1:23" ht="15.75" thickBot="1">
      <c r="A54" s="37" t="s">
        <v>298</v>
      </c>
      <c r="B54" s="39"/>
      <c r="C54" s="39"/>
      <c r="D54" s="39"/>
      <c r="E54" s="39"/>
      <c r="F54" s="39"/>
      <c r="G54" s="39"/>
      <c r="H54" s="39"/>
      <c r="I54" s="39"/>
      <c r="J54" s="39"/>
      <c r="K54" s="39"/>
      <c r="L54" s="33" t="s">
        <v>113</v>
      </c>
      <c r="M54" s="31">
        <v>1.2</v>
      </c>
      <c r="N54" s="31">
        <v>1</v>
      </c>
      <c r="O54" s="32">
        <v>100</v>
      </c>
      <c r="P54" s="32">
        <v>275</v>
      </c>
      <c r="Q54" s="32">
        <v>475</v>
      </c>
      <c r="R54" s="33" t="b">
        <v>0</v>
      </c>
      <c r="S54" s="33" t="s">
        <v>272</v>
      </c>
      <c r="T54" s="78"/>
      <c r="U54" s="78"/>
      <c r="V54" s="1"/>
      <c r="W54" s="77"/>
    </row>
    <row r="55" spans="1:23" ht="15.75" thickBot="1">
      <c r="A55" s="33" t="s">
        <v>297</v>
      </c>
      <c r="B55" s="39"/>
      <c r="C55" s="39"/>
      <c r="D55" s="39"/>
      <c r="E55" s="39"/>
      <c r="F55" s="39"/>
      <c r="G55" s="39"/>
      <c r="H55" s="39"/>
      <c r="I55" s="39"/>
      <c r="J55" s="39"/>
      <c r="K55" s="39"/>
      <c r="L55" s="33" t="s">
        <v>114</v>
      </c>
      <c r="M55" s="31">
        <v>2.1</v>
      </c>
      <c r="N55" s="31">
        <v>1</v>
      </c>
      <c r="O55" s="32">
        <v>100</v>
      </c>
      <c r="P55" s="32">
        <v>250</v>
      </c>
      <c r="Q55" s="32">
        <v>200</v>
      </c>
      <c r="R55" s="33" t="b">
        <v>0</v>
      </c>
      <c r="S55" s="33" t="s">
        <v>272</v>
      </c>
      <c r="T55" s="78"/>
      <c r="U55" s="78"/>
      <c r="V55" s="1"/>
      <c r="W55" s="77"/>
    </row>
    <row r="56" spans="1:23" ht="15.75" thickBot="1">
      <c r="A56" s="33" t="s">
        <v>296</v>
      </c>
      <c r="B56" s="39"/>
      <c r="C56" s="39"/>
      <c r="D56" s="39"/>
      <c r="E56" s="39"/>
      <c r="F56" s="39"/>
      <c r="G56" s="39"/>
      <c r="H56" s="39"/>
      <c r="I56" s="39"/>
      <c r="J56" s="39"/>
      <c r="K56" s="39"/>
      <c r="L56" s="33" t="s">
        <v>115</v>
      </c>
      <c r="M56" s="31">
        <v>0.5</v>
      </c>
      <c r="N56" s="31">
        <v>0.2</v>
      </c>
      <c r="O56" s="32">
        <v>333</v>
      </c>
      <c r="P56" s="32">
        <v>250</v>
      </c>
      <c r="Q56" s="32">
        <v>250</v>
      </c>
      <c r="R56" s="33" t="b">
        <v>0</v>
      </c>
      <c r="S56" s="33" t="s">
        <v>68</v>
      </c>
      <c r="T56" s="78"/>
      <c r="U56" s="78"/>
      <c r="V56" s="1"/>
      <c r="W56" s="77"/>
    </row>
    <row r="57" spans="1:23" ht="15.75" thickBot="1">
      <c r="A57" s="33" t="s">
        <v>295</v>
      </c>
      <c r="B57" s="39"/>
      <c r="C57" s="39"/>
      <c r="D57" s="39"/>
      <c r="E57" s="39"/>
      <c r="F57" s="39"/>
      <c r="G57" s="39"/>
      <c r="H57" s="39"/>
      <c r="I57" s="39"/>
      <c r="J57" s="39"/>
      <c r="K57" s="39"/>
      <c r="L57" s="33" t="s">
        <v>116</v>
      </c>
      <c r="M57" s="31">
        <v>2.7</v>
      </c>
      <c r="N57" s="31">
        <v>1.5</v>
      </c>
      <c r="O57" s="32">
        <v>100</v>
      </c>
      <c r="P57" s="32">
        <v>250</v>
      </c>
      <c r="Q57" s="32">
        <v>200</v>
      </c>
      <c r="R57" s="33" t="b">
        <v>0</v>
      </c>
      <c r="S57" s="33" t="s">
        <v>269</v>
      </c>
      <c r="T57" s="78"/>
      <c r="U57" s="78"/>
      <c r="V57" s="1"/>
      <c r="W57" s="77"/>
    </row>
    <row r="58" spans="1:23" ht="15.75" thickBot="1">
      <c r="A58" s="33" t="s">
        <v>294</v>
      </c>
      <c r="B58" s="39"/>
      <c r="C58" s="39"/>
      <c r="D58" s="39"/>
      <c r="E58" s="39"/>
      <c r="F58" s="39"/>
      <c r="G58" s="39"/>
      <c r="H58" s="39"/>
      <c r="I58" s="39"/>
      <c r="J58" s="39"/>
      <c r="K58" s="39"/>
      <c r="L58" s="33" t="s">
        <v>117</v>
      </c>
      <c r="M58" s="31">
        <v>1.5</v>
      </c>
      <c r="N58" s="31">
        <v>1.5</v>
      </c>
      <c r="O58" s="32">
        <v>100</v>
      </c>
      <c r="P58" s="32">
        <v>250</v>
      </c>
      <c r="Q58" s="32">
        <v>200</v>
      </c>
      <c r="R58" s="33" t="b">
        <v>0</v>
      </c>
      <c r="S58" s="33" t="s">
        <v>269</v>
      </c>
      <c r="T58" s="78"/>
      <c r="U58" s="78"/>
      <c r="V58" s="1"/>
      <c r="W58" s="77"/>
    </row>
    <row r="59" spans="1:23" ht="15.75" thickBot="1">
      <c r="A59" s="33" t="s">
        <v>293</v>
      </c>
      <c r="B59" s="39"/>
      <c r="C59" s="39"/>
      <c r="D59" s="39"/>
      <c r="E59" s="39"/>
      <c r="F59" s="39"/>
      <c r="G59" s="39"/>
      <c r="H59" s="39"/>
      <c r="I59" s="39"/>
      <c r="J59" s="39"/>
      <c r="K59" s="39"/>
      <c r="L59" s="33" t="s">
        <v>171</v>
      </c>
      <c r="M59" s="31">
        <v>0.8</v>
      </c>
      <c r="N59" s="31">
        <v>1.5</v>
      </c>
      <c r="O59" s="32">
        <v>100</v>
      </c>
      <c r="P59" s="32">
        <v>275</v>
      </c>
      <c r="Q59" s="32">
        <v>275</v>
      </c>
      <c r="R59" s="33" t="b">
        <v>0</v>
      </c>
      <c r="S59" s="33" t="s">
        <v>269</v>
      </c>
      <c r="T59" s="78"/>
      <c r="U59" s="78"/>
      <c r="V59" s="1"/>
      <c r="W59" s="77"/>
    </row>
    <row r="60" spans="1:23" ht="15.75" thickBot="1">
      <c r="A60" s="33" t="s">
        <v>205</v>
      </c>
      <c r="B60" s="39"/>
      <c r="C60" s="39"/>
      <c r="D60" s="39"/>
      <c r="E60" s="39"/>
      <c r="F60" s="39"/>
      <c r="G60" s="39"/>
      <c r="H60" s="39"/>
      <c r="I60" s="39"/>
      <c r="J60" s="39"/>
      <c r="K60" s="39"/>
      <c r="L60" s="33" t="s">
        <v>118</v>
      </c>
      <c r="M60" s="31">
        <v>0.6</v>
      </c>
      <c r="N60" s="31">
        <v>1.5</v>
      </c>
      <c r="O60" s="32">
        <v>100</v>
      </c>
      <c r="P60" s="32">
        <v>250</v>
      </c>
      <c r="Q60" s="32">
        <v>200</v>
      </c>
      <c r="R60" s="33" t="b">
        <v>0</v>
      </c>
      <c r="S60" s="33" t="s">
        <v>269</v>
      </c>
      <c r="T60" s="78"/>
      <c r="U60" s="78"/>
      <c r="V60" s="1"/>
      <c r="W60" s="77"/>
    </row>
    <row r="61" spans="1:23" ht="15.75" thickBot="1">
      <c r="A61" s="33" t="s">
        <v>206</v>
      </c>
      <c r="B61" s="39"/>
      <c r="C61" s="39"/>
      <c r="D61" s="39"/>
      <c r="E61" s="39"/>
      <c r="F61" s="39"/>
      <c r="G61" s="39"/>
      <c r="H61" s="39"/>
      <c r="I61" s="39"/>
      <c r="J61" s="39"/>
      <c r="K61" s="39"/>
      <c r="L61" s="33" t="s">
        <v>119</v>
      </c>
      <c r="M61" s="31">
        <v>1</v>
      </c>
      <c r="N61" s="31">
        <v>1.5</v>
      </c>
      <c r="O61" s="32">
        <v>100</v>
      </c>
      <c r="P61" s="32">
        <v>250</v>
      </c>
      <c r="Q61" s="32">
        <v>200</v>
      </c>
      <c r="R61" s="33" t="b">
        <v>0</v>
      </c>
      <c r="S61" s="33" t="s">
        <v>269</v>
      </c>
      <c r="T61" s="78"/>
      <c r="U61" s="78"/>
      <c r="V61" s="1"/>
      <c r="W61" s="77"/>
    </row>
    <row r="62" spans="1:23" ht="15.75" thickBot="1">
      <c r="A62" s="39"/>
      <c r="B62" s="39"/>
      <c r="C62" s="39"/>
      <c r="D62" s="39"/>
      <c r="E62" s="39"/>
      <c r="F62" s="39"/>
      <c r="G62" s="39"/>
      <c r="H62" s="39"/>
      <c r="I62" s="39"/>
      <c r="J62" s="39"/>
      <c r="K62" s="39"/>
      <c r="L62" s="33" t="s">
        <v>120</v>
      </c>
      <c r="M62" s="31">
        <v>2.2000000000000002</v>
      </c>
      <c r="N62" s="31">
        <v>1.5</v>
      </c>
      <c r="O62" s="32">
        <v>100</v>
      </c>
      <c r="P62" s="32">
        <v>250</v>
      </c>
      <c r="Q62" s="32">
        <v>200</v>
      </c>
      <c r="R62" s="33" t="b">
        <v>0</v>
      </c>
      <c r="S62" s="33" t="s">
        <v>269</v>
      </c>
      <c r="T62" s="78"/>
      <c r="U62" s="78"/>
      <c r="V62" s="1"/>
      <c r="W62" s="77"/>
    </row>
    <row r="63" spans="1:23" ht="15.75" thickBot="1">
      <c r="A63" s="33" t="s">
        <v>307</v>
      </c>
      <c r="B63" s="39"/>
      <c r="C63" s="39"/>
      <c r="D63" s="39"/>
      <c r="E63" s="39"/>
      <c r="F63" s="39"/>
      <c r="G63" s="39"/>
      <c r="H63" s="39"/>
      <c r="I63" s="39"/>
      <c r="J63" s="39"/>
      <c r="K63" s="39"/>
      <c r="L63" s="33" t="s">
        <v>121</v>
      </c>
      <c r="M63" s="31">
        <v>0.7</v>
      </c>
      <c r="N63" s="31">
        <v>1.5</v>
      </c>
      <c r="O63" s="32">
        <v>100</v>
      </c>
      <c r="P63" s="32">
        <v>250</v>
      </c>
      <c r="Q63" s="32">
        <v>200</v>
      </c>
      <c r="R63" s="33" t="b">
        <v>0</v>
      </c>
      <c r="S63" s="33" t="s">
        <v>269</v>
      </c>
      <c r="T63" s="78"/>
      <c r="U63" s="78"/>
      <c r="V63" s="1"/>
      <c r="W63" s="77"/>
    </row>
    <row r="64" spans="1:23" ht="15.75" thickBot="1">
      <c r="A64" s="33" t="s">
        <v>308</v>
      </c>
      <c r="B64" s="39"/>
      <c r="C64" s="39"/>
      <c r="D64" s="39"/>
      <c r="E64" s="39"/>
      <c r="F64" s="39"/>
      <c r="G64" s="39"/>
      <c r="H64" s="39"/>
      <c r="I64" s="39"/>
      <c r="J64" s="39"/>
      <c r="K64" s="39"/>
      <c r="L64" s="33" t="s">
        <v>122</v>
      </c>
      <c r="M64" s="31">
        <v>1.2</v>
      </c>
      <c r="N64" s="31">
        <v>1.5</v>
      </c>
      <c r="O64" s="32">
        <v>100</v>
      </c>
      <c r="P64" s="32">
        <v>250</v>
      </c>
      <c r="Q64" s="32">
        <v>200</v>
      </c>
      <c r="R64" s="33" t="b">
        <v>0</v>
      </c>
      <c r="S64" s="33" t="s">
        <v>269</v>
      </c>
      <c r="T64" s="78"/>
      <c r="U64" s="78"/>
      <c r="V64" s="1"/>
      <c r="W64" s="77"/>
    </row>
    <row r="65" spans="1:23" ht="15.75" thickBot="1">
      <c r="A65" s="39"/>
      <c r="B65" s="39"/>
      <c r="C65" s="39"/>
      <c r="D65" s="39"/>
      <c r="E65" s="39"/>
      <c r="F65" s="39"/>
      <c r="G65" s="39"/>
      <c r="H65" s="39"/>
      <c r="I65" s="39"/>
      <c r="J65" s="39"/>
      <c r="K65" s="39"/>
      <c r="L65" s="33" t="s">
        <v>170</v>
      </c>
      <c r="M65" s="31">
        <v>0.9</v>
      </c>
      <c r="N65" s="31">
        <v>1.5</v>
      </c>
      <c r="O65" s="32">
        <v>100</v>
      </c>
      <c r="P65" s="32">
        <v>250</v>
      </c>
      <c r="Q65" s="32">
        <v>200</v>
      </c>
      <c r="R65" s="33" t="b">
        <v>0</v>
      </c>
      <c r="S65" s="33" t="s">
        <v>269</v>
      </c>
      <c r="T65" s="78"/>
      <c r="U65" s="78"/>
      <c r="V65" s="1"/>
      <c r="W65" s="77"/>
    </row>
    <row r="66" spans="1:23" ht="15.75" thickBot="1">
      <c r="A66" s="39"/>
      <c r="B66" s="39"/>
      <c r="C66" s="39"/>
      <c r="D66" s="39"/>
      <c r="E66" s="39"/>
      <c r="F66" s="39"/>
      <c r="G66" s="39"/>
      <c r="H66" s="39"/>
      <c r="I66" s="39"/>
      <c r="J66" s="39"/>
      <c r="K66" s="39"/>
      <c r="L66" s="33" t="s">
        <v>123</v>
      </c>
      <c r="M66" s="31">
        <v>0.4</v>
      </c>
      <c r="N66" s="31">
        <v>1.5</v>
      </c>
      <c r="O66" s="32">
        <v>100</v>
      </c>
      <c r="P66" s="32">
        <v>250</v>
      </c>
      <c r="Q66" s="32">
        <v>200</v>
      </c>
      <c r="R66" s="33" t="b">
        <v>0</v>
      </c>
      <c r="S66" s="33" t="s">
        <v>269</v>
      </c>
      <c r="T66" s="78"/>
      <c r="U66" s="78"/>
      <c r="V66" s="1"/>
      <c r="W66" s="77"/>
    </row>
    <row r="67" spans="1:23" ht="15.75" thickBot="1">
      <c r="A67" s="39"/>
      <c r="B67" s="39"/>
      <c r="C67" s="39"/>
      <c r="D67" s="39"/>
      <c r="E67" s="39"/>
      <c r="F67" s="39"/>
      <c r="G67" s="39"/>
      <c r="H67" s="39"/>
      <c r="I67" s="39"/>
      <c r="J67" s="39"/>
      <c r="K67" s="39"/>
      <c r="L67" s="33" t="s">
        <v>124</v>
      </c>
      <c r="M67" s="31">
        <v>0.8</v>
      </c>
      <c r="N67" s="31">
        <v>1.5</v>
      </c>
      <c r="O67" s="32">
        <v>100</v>
      </c>
      <c r="P67" s="32">
        <v>250</v>
      </c>
      <c r="Q67" s="32">
        <v>200</v>
      </c>
      <c r="R67" s="33" t="b">
        <v>0</v>
      </c>
      <c r="S67" s="33" t="s">
        <v>269</v>
      </c>
      <c r="T67" s="78"/>
      <c r="U67" s="78"/>
      <c r="V67" s="1"/>
      <c r="W67" s="77"/>
    </row>
    <row r="68" spans="1:23" ht="15.75" thickBot="1">
      <c r="A68" s="39"/>
      <c r="B68" s="39"/>
      <c r="C68" s="39"/>
      <c r="D68" s="39"/>
      <c r="E68" s="39"/>
      <c r="F68" s="39"/>
      <c r="G68" s="39"/>
      <c r="H68" s="39"/>
      <c r="I68" s="39"/>
      <c r="J68" s="39"/>
      <c r="K68" s="39"/>
      <c r="L68" s="33" t="s">
        <v>125</v>
      </c>
      <c r="M68" s="31">
        <v>1.4</v>
      </c>
      <c r="N68" s="31">
        <v>1.5</v>
      </c>
      <c r="O68" s="32">
        <v>100</v>
      </c>
      <c r="P68" s="32">
        <v>250</v>
      </c>
      <c r="Q68" s="32">
        <v>200</v>
      </c>
      <c r="R68" s="33" t="b">
        <v>0</v>
      </c>
      <c r="S68" s="33" t="s">
        <v>269</v>
      </c>
      <c r="T68" s="78"/>
      <c r="U68" s="78"/>
      <c r="V68" s="1"/>
      <c r="W68" s="77"/>
    </row>
    <row r="69" spans="1:23" ht="15.75" thickBot="1">
      <c r="A69" s="39"/>
      <c r="B69" s="39"/>
      <c r="C69" s="39"/>
      <c r="D69" s="39"/>
      <c r="E69" s="39"/>
      <c r="F69" s="39"/>
      <c r="G69" s="39"/>
      <c r="H69" s="39"/>
      <c r="I69" s="39"/>
      <c r="J69" s="39"/>
      <c r="K69" s="39"/>
      <c r="L69" s="33" t="s">
        <v>126</v>
      </c>
      <c r="M69" s="31">
        <v>1</v>
      </c>
      <c r="N69" s="31">
        <v>0.2</v>
      </c>
      <c r="O69" s="32">
        <v>333</v>
      </c>
      <c r="P69" s="32">
        <v>275</v>
      </c>
      <c r="Q69" s="32">
        <v>475</v>
      </c>
      <c r="R69" s="33" t="b">
        <v>0</v>
      </c>
      <c r="S69" s="33" t="s">
        <v>267</v>
      </c>
      <c r="T69" s="78"/>
      <c r="U69" s="78"/>
      <c r="V69" s="1"/>
      <c r="W69" s="77"/>
    </row>
    <row r="70" spans="1:23" ht="15.75" thickBot="1">
      <c r="A70" s="39"/>
      <c r="B70" s="39"/>
      <c r="C70" s="39"/>
      <c r="D70" s="39"/>
      <c r="E70" s="39"/>
      <c r="F70" s="39"/>
      <c r="G70" s="39"/>
      <c r="H70" s="39"/>
      <c r="I70" s="39"/>
      <c r="J70" s="39"/>
      <c r="K70" s="39"/>
      <c r="L70" s="33" t="s">
        <v>127</v>
      </c>
      <c r="M70" s="31">
        <v>1.7</v>
      </c>
      <c r="N70" s="31">
        <v>1.5</v>
      </c>
      <c r="O70" s="32">
        <v>15</v>
      </c>
      <c r="P70" s="32">
        <v>250</v>
      </c>
      <c r="Q70" s="32">
        <v>250</v>
      </c>
      <c r="R70" s="33" t="b">
        <v>0</v>
      </c>
      <c r="S70" s="33" t="s">
        <v>267</v>
      </c>
      <c r="T70" s="78"/>
      <c r="U70" s="78"/>
      <c r="V70" s="1"/>
      <c r="W70" s="77"/>
    </row>
    <row r="71" spans="1:23" ht="15.75" thickBot="1">
      <c r="A71" s="39"/>
      <c r="B71" s="39"/>
      <c r="C71" s="39"/>
      <c r="D71" s="39"/>
      <c r="E71" s="39"/>
      <c r="F71" s="39"/>
      <c r="G71" s="39"/>
      <c r="H71" s="39"/>
      <c r="I71" s="39"/>
      <c r="J71" s="39"/>
      <c r="K71" s="39"/>
      <c r="L71" s="33" t="s">
        <v>128</v>
      </c>
      <c r="M71" s="31">
        <v>1.1000000000000001</v>
      </c>
      <c r="N71" s="31">
        <v>1</v>
      </c>
      <c r="O71" s="32">
        <v>100</v>
      </c>
      <c r="P71" s="32">
        <v>250</v>
      </c>
      <c r="Q71" s="32">
        <v>200</v>
      </c>
      <c r="R71" s="33" t="b">
        <v>0</v>
      </c>
      <c r="S71" s="33" t="s">
        <v>244</v>
      </c>
      <c r="T71" s="78"/>
      <c r="U71" s="78"/>
      <c r="V71" s="1"/>
      <c r="W71" s="77"/>
    </row>
    <row r="72" spans="1:23" ht="15.75" thickBot="1">
      <c r="A72" s="39"/>
      <c r="B72" s="39"/>
      <c r="C72" s="39"/>
      <c r="D72" s="39"/>
      <c r="E72" s="39"/>
      <c r="F72" s="39"/>
      <c r="G72" s="39"/>
      <c r="H72" s="39"/>
      <c r="I72" s="39"/>
      <c r="J72" s="39"/>
      <c r="K72" s="39"/>
      <c r="L72" s="33" t="s">
        <v>129</v>
      </c>
      <c r="M72" s="31">
        <v>1.1000000000000001</v>
      </c>
      <c r="N72" s="31">
        <v>1.5</v>
      </c>
      <c r="O72" s="32">
        <v>100</v>
      </c>
      <c r="P72" s="32">
        <v>250</v>
      </c>
      <c r="Q72" s="32">
        <v>200</v>
      </c>
      <c r="R72" s="33" t="b">
        <v>0</v>
      </c>
      <c r="S72" s="33" t="s">
        <v>244</v>
      </c>
      <c r="T72" s="78"/>
      <c r="U72" s="78"/>
      <c r="V72" s="1"/>
      <c r="W72" s="77"/>
    </row>
    <row r="73" spans="1:23" ht="15.75" thickBot="1">
      <c r="A73" s="39"/>
      <c r="B73" s="39"/>
      <c r="C73" s="39"/>
      <c r="D73" s="39"/>
      <c r="E73" s="39"/>
      <c r="F73" s="39"/>
      <c r="G73" s="39"/>
      <c r="H73" s="39"/>
      <c r="I73" s="39"/>
      <c r="J73" s="39"/>
      <c r="K73" s="39"/>
      <c r="L73" s="33" t="s">
        <v>130</v>
      </c>
      <c r="M73" s="31">
        <v>0.2</v>
      </c>
      <c r="N73" s="31">
        <v>1.5</v>
      </c>
      <c r="O73" s="32">
        <v>100</v>
      </c>
      <c r="P73" s="32">
        <v>250</v>
      </c>
      <c r="Q73" s="32">
        <v>200</v>
      </c>
      <c r="R73" s="33" t="b">
        <v>0</v>
      </c>
      <c r="S73" s="33" t="s">
        <v>274</v>
      </c>
      <c r="T73" s="78"/>
      <c r="U73" s="78"/>
      <c r="V73" s="1"/>
      <c r="W73" s="77"/>
    </row>
    <row r="74" spans="1:23" ht="15.75" thickBot="1">
      <c r="A74" s="39"/>
      <c r="B74" s="39"/>
      <c r="C74" s="39"/>
      <c r="D74" s="39"/>
      <c r="E74" s="39"/>
      <c r="F74" s="39"/>
      <c r="G74" s="39"/>
      <c r="H74" s="39"/>
      <c r="I74" s="39"/>
      <c r="J74" s="39"/>
      <c r="K74" s="39"/>
      <c r="L74" s="33" t="s">
        <v>131</v>
      </c>
      <c r="M74" s="31">
        <v>0.2</v>
      </c>
      <c r="N74" s="31">
        <v>0.2</v>
      </c>
      <c r="O74" s="32">
        <v>100</v>
      </c>
      <c r="P74" s="32">
        <v>250</v>
      </c>
      <c r="Q74" s="32">
        <v>250</v>
      </c>
      <c r="R74" s="33" t="b">
        <v>0</v>
      </c>
      <c r="S74" s="33" t="s">
        <v>274</v>
      </c>
      <c r="T74" s="78"/>
      <c r="U74" s="78"/>
      <c r="V74" s="1"/>
      <c r="W74" s="77"/>
    </row>
    <row r="75" spans="1:23" ht="15.75" thickBot="1">
      <c r="A75" s="39"/>
      <c r="B75" s="39"/>
      <c r="C75" s="39"/>
      <c r="D75" s="39"/>
      <c r="E75" s="39"/>
      <c r="F75" s="39"/>
      <c r="G75" s="39"/>
      <c r="H75" s="39"/>
      <c r="I75" s="39"/>
      <c r="J75" s="39"/>
      <c r="K75" s="39"/>
      <c r="L75" s="33" t="s">
        <v>166</v>
      </c>
      <c r="M75" s="31">
        <v>1.2</v>
      </c>
      <c r="N75" s="31">
        <v>0.2</v>
      </c>
      <c r="O75" s="32">
        <v>100</v>
      </c>
      <c r="P75" s="32">
        <v>250</v>
      </c>
      <c r="Q75" s="32">
        <v>250</v>
      </c>
      <c r="R75" s="33" t="b">
        <v>0</v>
      </c>
      <c r="S75" s="33" t="s">
        <v>244</v>
      </c>
      <c r="T75" s="78"/>
      <c r="U75" s="78"/>
      <c r="V75" s="1"/>
      <c r="W75" s="77"/>
    </row>
    <row r="76" spans="1:23" ht="15.75" thickBot="1">
      <c r="A76" s="39"/>
      <c r="B76" s="39"/>
      <c r="C76" s="39"/>
      <c r="D76" s="39"/>
      <c r="E76" s="39"/>
      <c r="F76" s="39"/>
      <c r="G76" s="39"/>
      <c r="H76" s="39"/>
      <c r="I76" s="39"/>
      <c r="J76" s="39"/>
      <c r="K76" s="39"/>
      <c r="L76" s="33" t="s">
        <v>165</v>
      </c>
      <c r="M76" s="31">
        <v>0.9</v>
      </c>
      <c r="N76" s="31">
        <v>0.5</v>
      </c>
      <c r="O76" s="32">
        <v>7</v>
      </c>
      <c r="P76" s="32">
        <v>245</v>
      </c>
      <c r="Q76" s="32">
        <v>105</v>
      </c>
      <c r="R76" s="33" t="b">
        <v>0</v>
      </c>
      <c r="S76" s="33" t="s">
        <v>267</v>
      </c>
      <c r="T76" s="78"/>
      <c r="U76" s="78"/>
      <c r="V76" s="1"/>
      <c r="W76" s="77"/>
    </row>
    <row r="77" spans="1:23" ht="15.75" thickBot="1">
      <c r="A77" s="39"/>
      <c r="B77" s="39"/>
      <c r="C77" s="39"/>
      <c r="D77" s="39"/>
      <c r="E77" s="39"/>
      <c r="F77" s="39"/>
      <c r="G77" s="39"/>
      <c r="H77" s="39"/>
      <c r="I77" s="39"/>
      <c r="J77" s="39"/>
      <c r="K77" s="39"/>
      <c r="L77" s="33" t="s">
        <v>132</v>
      </c>
      <c r="M77" s="31">
        <v>2.4</v>
      </c>
      <c r="N77" s="31">
        <v>1</v>
      </c>
      <c r="O77" s="32">
        <v>100</v>
      </c>
      <c r="P77" s="32">
        <v>275</v>
      </c>
      <c r="Q77" s="32">
        <v>475</v>
      </c>
      <c r="R77" s="33" t="b">
        <v>0</v>
      </c>
      <c r="S77" s="33" t="s">
        <v>267</v>
      </c>
      <c r="T77" s="78"/>
      <c r="U77" s="78"/>
      <c r="V77" s="1"/>
      <c r="W77" s="77"/>
    </row>
    <row r="78" spans="1:23" ht="15.75" thickBot="1">
      <c r="A78" s="39"/>
      <c r="B78" s="39"/>
      <c r="C78" s="39"/>
      <c r="D78" s="39"/>
      <c r="E78" s="39"/>
      <c r="F78" s="39"/>
      <c r="G78" s="39"/>
      <c r="H78" s="39"/>
      <c r="I78" s="39"/>
      <c r="J78" s="39"/>
      <c r="K78" s="39"/>
      <c r="L78" s="33" t="s">
        <v>133</v>
      </c>
      <c r="M78" s="31">
        <v>0.9</v>
      </c>
      <c r="N78" s="31">
        <v>0.5</v>
      </c>
      <c r="O78" s="32">
        <v>7</v>
      </c>
      <c r="P78" s="32">
        <v>245</v>
      </c>
      <c r="Q78" s="32">
        <v>105</v>
      </c>
      <c r="R78" s="33" t="b">
        <v>0</v>
      </c>
      <c r="S78" s="33" t="s">
        <v>68</v>
      </c>
      <c r="T78" s="78"/>
      <c r="U78" s="78"/>
      <c r="V78" s="1"/>
      <c r="W78" s="77"/>
    </row>
    <row r="79" spans="1:23" ht="15.75" thickBot="1">
      <c r="A79" s="39"/>
      <c r="B79" s="39"/>
      <c r="E79" s="39"/>
      <c r="F79" s="39"/>
      <c r="G79" s="39"/>
      <c r="H79" s="39"/>
      <c r="I79" s="39"/>
      <c r="J79" s="39"/>
      <c r="K79" s="39"/>
      <c r="L79" s="33" t="s">
        <v>134</v>
      </c>
      <c r="M79" s="31">
        <v>1.7</v>
      </c>
      <c r="N79" s="31">
        <v>0.2</v>
      </c>
      <c r="O79" s="32">
        <v>100</v>
      </c>
      <c r="P79" s="32">
        <v>250</v>
      </c>
      <c r="Q79" s="32">
        <v>250</v>
      </c>
      <c r="R79" s="33" t="b">
        <v>0</v>
      </c>
      <c r="S79" s="33" t="s">
        <v>271</v>
      </c>
      <c r="T79" s="78"/>
      <c r="U79" s="78"/>
      <c r="V79" s="1"/>
      <c r="W79" s="77"/>
    </row>
    <row r="80" spans="1:23" ht="15.75" thickBot="1">
      <c r="A80" s="39"/>
      <c r="B80" s="39"/>
      <c r="E80" s="39"/>
      <c r="F80" s="39"/>
      <c r="G80" s="39"/>
      <c r="H80" s="39"/>
      <c r="I80" s="39"/>
      <c r="J80" s="39"/>
      <c r="K80" s="39"/>
      <c r="L80" s="33" t="s">
        <v>135</v>
      </c>
      <c r="M80" s="31">
        <v>1.7</v>
      </c>
      <c r="N80" s="31">
        <v>1</v>
      </c>
      <c r="O80" s="32">
        <v>30</v>
      </c>
      <c r="P80" s="32">
        <v>250</v>
      </c>
      <c r="Q80" s="32">
        <v>200</v>
      </c>
      <c r="R80" s="33" t="b">
        <v>0</v>
      </c>
      <c r="S80" s="33" t="s">
        <v>271</v>
      </c>
      <c r="T80" s="78"/>
      <c r="U80" s="78"/>
      <c r="V80" s="1"/>
      <c r="W80" s="77"/>
    </row>
    <row r="81" spans="1:23" ht="15.75" thickBot="1">
      <c r="A81" s="39"/>
      <c r="B81" s="39"/>
      <c r="E81" s="39"/>
      <c r="F81" s="39"/>
      <c r="G81" s="39"/>
      <c r="H81" s="39"/>
      <c r="I81" s="39"/>
      <c r="J81" s="39"/>
      <c r="K81" s="39"/>
      <c r="L81" s="33" t="s">
        <v>136</v>
      </c>
      <c r="M81" s="31">
        <v>1.7</v>
      </c>
      <c r="N81" s="31">
        <v>0.5</v>
      </c>
      <c r="O81" s="32">
        <v>30</v>
      </c>
      <c r="P81" s="32">
        <v>250</v>
      </c>
      <c r="Q81" s="32">
        <v>250</v>
      </c>
      <c r="R81" s="33" t="b">
        <v>0</v>
      </c>
      <c r="S81" s="33" t="s">
        <v>271</v>
      </c>
      <c r="T81" s="78"/>
      <c r="U81" s="78"/>
      <c r="V81" s="1"/>
      <c r="W81" s="77"/>
    </row>
    <row r="82" spans="1:23" ht="15.75" thickBot="1">
      <c r="A82" s="39"/>
      <c r="B82" s="39"/>
      <c r="E82" s="39"/>
      <c r="F82" s="39"/>
      <c r="G82" s="39"/>
      <c r="H82" s="39"/>
      <c r="I82" s="39"/>
      <c r="J82" s="39"/>
      <c r="K82" s="39"/>
      <c r="L82" s="33" t="s">
        <v>137</v>
      </c>
      <c r="M82" s="31">
        <v>2.2999999999999998</v>
      </c>
      <c r="N82" s="31">
        <v>1</v>
      </c>
      <c r="O82" s="32">
        <v>30</v>
      </c>
      <c r="P82" s="32">
        <v>250</v>
      </c>
      <c r="Q82" s="32">
        <v>200</v>
      </c>
      <c r="R82" s="33" t="b">
        <v>0</v>
      </c>
      <c r="S82" s="33" t="s">
        <v>267</v>
      </c>
      <c r="T82" s="78"/>
      <c r="U82" s="78"/>
      <c r="V82" s="1"/>
      <c r="W82" s="77"/>
    </row>
    <row r="83" spans="1:23" ht="15.75" thickBot="1">
      <c r="A83" s="39"/>
      <c r="B83" s="39"/>
      <c r="E83" s="39"/>
      <c r="F83" s="39"/>
      <c r="G83" s="39"/>
      <c r="H83" s="39"/>
      <c r="I83" s="39"/>
      <c r="J83" s="39"/>
      <c r="K83" s="39"/>
      <c r="L83" s="33" t="s">
        <v>138</v>
      </c>
      <c r="M83" s="31">
        <v>1.4</v>
      </c>
      <c r="N83" s="31">
        <v>1</v>
      </c>
      <c r="O83" s="32">
        <v>7</v>
      </c>
      <c r="P83" s="32">
        <v>245</v>
      </c>
      <c r="Q83" s="32">
        <v>105</v>
      </c>
      <c r="R83" s="33" t="b">
        <v>0</v>
      </c>
      <c r="S83" s="33" t="s">
        <v>267</v>
      </c>
      <c r="T83" s="78"/>
      <c r="U83" s="78"/>
      <c r="V83" s="1"/>
      <c r="W83" s="77"/>
    </row>
    <row r="84" spans="1:23" ht="15.75" thickBot="1">
      <c r="A84" s="39"/>
      <c r="B84" s="39"/>
      <c r="E84" s="39"/>
      <c r="F84" s="39"/>
      <c r="G84" s="39"/>
      <c r="H84" s="39"/>
      <c r="I84" s="39"/>
      <c r="J84" s="39"/>
      <c r="K84" s="39"/>
      <c r="L84" s="33" t="s">
        <v>139</v>
      </c>
      <c r="M84" s="31">
        <v>2.7</v>
      </c>
      <c r="N84" s="31">
        <v>1</v>
      </c>
      <c r="O84" s="32">
        <v>7</v>
      </c>
      <c r="P84" s="32">
        <v>245</v>
      </c>
      <c r="Q84" s="32">
        <v>105</v>
      </c>
      <c r="R84" s="33" t="b">
        <v>0</v>
      </c>
      <c r="S84" s="33" t="s">
        <v>267</v>
      </c>
      <c r="T84" s="78"/>
      <c r="U84" s="78"/>
      <c r="V84" s="1"/>
      <c r="W84" s="77"/>
    </row>
    <row r="85" spans="1:23" ht="15.75" thickBot="1">
      <c r="A85" s="39"/>
      <c r="B85" s="39"/>
      <c r="E85" s="39"/>
      <c r="F85" s="39"/>
      <c r="G85" s="39"/>
      <c r="H85" s="39"/>
      <c r="I85" s="39"/>
      <c r="J85" s="39"/>
      <c r="K85" s="39"/>
      <c r="L85" s="33" t="s">
        <v>140</v>
      </c>
      <c r="M85" s="31">
        <v>0.6</v>
      </c>
      <c r="N85" s="31">
        <v>1</v>
      </c>
      <c r="O85" s="32">
        <v>7</v>
      </c>
      <c r="P85" s="32">
        <v>245</v>
      </c>
      <c r="Q85" s="32">
        <v>105</v>
      </c>
      <c r="R85" s="33" t="b">
        <v>0</v>
      </c>
      <c r="S85" s="33" t="s">
        <v>254</v>
      </c>
      <c r="T85" s="78"/>
      <c r="U85" s="78"/>
      <c r="V85" s="1"/>
      <c r="W85" s="77"/>
    </row>
    <row r="86" spans="1:23" ht="15.75" thickBot="1">
      <c r="A86" s="39"/>
      <c r="B86" s="39"/>
      <c r="E86" s="39"/>
      <c r="F86" s="39"/>
      <c r="G86" s="39"/>
      <c r="H86" s="39"/>
      <c r="I86" s="39"/>
      <c r="J86" s="39"/>
      <c r="K86" s="39"/>
      <c r="L86" s="33" t="s">
        <v>140</v>
      </c>
      <c r="M86" s="31">
        <v>0.8</v>
      </c>
      <c r="N86" s="31">
        <v>0.2</v>
      </c>
      <c r="O86" s="32">
        <v>100</v>
      </c>
      <c r="P86" s="32">
        <v>250</v>
      </c>
      <c r="Q86" s="32">
        <v>250</v>
      </c>
      <c r="R86" s="33" t="b">
        <v>0</v>
      </c>
      <c r="S86" s="33" t="s">
        <v>254</v>
      </c>
      <c r="T86" s="78"/>
      <c r="U86" s="78"/>
      <c r="V86" s="1"/>
      <c r="W86" s="77"/>
    </row>
    <row r="87" spans="1:23" ht="15.75" thickBot="1">
      <c r="A87" s="39"/>
      <c r="B87" s="39"/>
      <c r="E87" s="39"/>
      <c r="F87" s="39"/>
      <c r="G87" s="39"/>
      <c r="H87" s="39"/>
      <c r="I87" s="39"/>
      <c r="J87" s="39"/>
      <c r="K87" s="39"/>
      <c r="L87" s="33" t="s">
        <v>160</v>
      </c>
      <c r="M87" s="31">
        <v>0.8</v>
      </c>
      <c r="N87" s="31">
        <v>0.2</v>
      </c>
      <c r="O87" s="32">
        <v>333</v>
      </c>
      <c r="P87" s="32">
        <v>275</v>
      </c>
      <c r="Q87" s="32">
        <v>475</v>
      </c>
      <c r="R87" s="33" t="b">
        <v>0</v>
      </c>
      <c r="S87" s="33" t="s">
        <v>254</v>
      </c>
      <c r="T87" s="78"/>
      <c r="U87" s="78"/>
      <c r="V87" s="1"/>
      <c r="W87" s="77"/>
    </row>
    <row r="88" spans="1:23" ht="15.75" thickBot="1">
      <c r="A88" s="39"/>
      <c r="B88" s="39"/>
      <c r="E88" s="39"/>
      <c r="F88" s="39"/>
      <c r="G88" s="39"/>
      <c r="H88" s="39"/>
      <c r="I88" s="39"/>
      <c r="J88" s="39"/>
      <c r="K88" s="39"/>
      <c r="L88" s="33" t="s">
        <v>141</v>
      </c>
      <c r="M88" s="31">
        <v>0.8</v>
      </c>
      <c r="N88" s="31">
        <v>0.2</v>
      </c>
      <c r="O88" s="32">
        <v>333</v>
      </c>
      <c r="P88" s="32">
        <v>275</v>
      </c>
      <c r="Q88" s="32">
        <v>475</v>
      </c>
      <c r="R88" s="33" t="b">
        <v>0</v>
      </c>
      <c r="S88" s="33" t="s">
        <v>254</v>
      </c>
      <c r="T88" s="78"/>
      <c r="U88" s="78"/>
      <c r="V88" s="1"/>
      <c r="W88" s="77"/>
    </row>
    <row r="89" spans="1:23" ht="15.75" thickBot="1">
      <c r="A89" s="39"/>
      <c r="B89" s="39"/>
      <c r="E89" s="39"/>
      <c r="F89" s="39"/>
      <c r="G89" s="39"/>
      <c r="H89" s="39"/>
      <c r="I89" s="39"/>
      <c r="J89" s="39"/>
      <c r="K89" s="39"/>
      <c r="L89" s="33" t="s">
        <v>161</v>
      </c>
      <c r="M89" s="31">
        <v>0.9</v>
      </c>
      <c r="N89" s="31">
        <v>0.2</v>
      </c>
      <c r="O89" s="32">
        <v>333</v>
      </c>
      <c r="P89" s="32">
        <v>275</v>
      </c>
      <c r="Q89" s="32">
        <v>475</v>
      </c>
      <c r="R89" s="33" t="b">
        <v>0</v>
      </c>
      <c r="S89" s="33" t="s">
        <v>269</v>
      </c>
      <c r="T89" s="78"/>
      <c r="U89" s="78"/>
      <c r="V89" s="1"/>
      <c r="W89" s="77"/>
    </row>
    <row r="90" spans="1:23" ht="15.75" thickBot="1">
      <c r="A90" s="39"/>
      <c r="B90" s="39"/>
      <c r="E90" s="39"/>
      <c r="F90" s="39"/>
      <c r="G90" s="39"/>
      <c r="H90" s="39"/>
      <c r="I90" s="39"/>
      <c r="J90" s="39"/>
      <c r="K90" s="39"/>
      <c r="L90" s="33" t="s">
        <v>142</v>
      </c>
      <c r="M90" s="31">
        <v>0.3</v>
      </c>
      <c r="N90" s="31">
        <v>0.2</v>
      </c>
      <c r="O90" s="32">
        <v>333</v>
      </c>
      <c r="P90" s="32">
        <v>275</v>
      </c>
      <c r="Q90" s="32">
        <v>475</v>
      </c>
      <c r="R90" s="33" t="b">
        <v>0</v>
      </c>
      <c r="S90" s="33" t="s">
        <v>254</v>
      </c>
      <c r="T90" s="78"/>
      <c r="U90" s="78"/>
      <c r="V90" s="1"/>
      <c r="W90" s="77"/>
    </row>
    <row r="91" spans="1:23" ht="15.75" thickBot="1">
      <c r="A91" s="39"/>
      <c r="B91" s="39"/>
      <c r="E91" s="39"/>
      <c r="F91" s="39"/>
      <c r="G91" s="39"/>
      <c r="H91" s="39"/>
      <c r="I91" s="39"/>
      <c r="J91" s="39"/>
      <c r="K91" s="39"/>
      <c r="L91" s="33" t="s">
        <v>143</v>
      </c>
      <c r="M91" s="31">
        <v>0.8</v>
      </c>
      <c r="N91" s="31">
        <v>0.2</v>
      </c>
      <c r="O91" s="32">
        <v>333</v>
      </c>
      <c r="P91" s="32">
        <v>275</v>
      </c>
      <c r="Q91" s="32">
        <v>475</v>
      </c>
      <c r="R91" s="33" t="b">
        <v>0</v>
      </c>
      <c r="S91" s="33" t="s">
        <v>254</v>
      </c>
      <c r="T91" s="78"/>
      <c r="U91" s="78"/>
      <c r="V91" s="1"/>
      <c r="W91" s="77"/>
    </row>
    <row r="92" spans="1:23" ht="15.75" thickBot="1">
      <c r="A92" s="39"/>
      <c r="B92" s="39"/>
      <c r="E92" s="39"/>
      <c r="F92" s="39"/>
      <c r="G92" s="39"/>
      <c r="H92" s="39"/>
      <c r="I92" s="39"/>
      <c r="J92" s="39"/>
      <c r="K92" s="39"/>
      <c r="L92" s="33" t="s">
        <v>172</v>
      </c>
      <c r="M92" s="31">
        <v>1.2</v>
      </c>
      <c r="N92" s="31">
        <v>0.5</v>
      </c>
      <c r="O92" s="32">
        <v>7</v>
      </c>
      <c r="P92" s="32">
        <v>245</v>
      </c>
      <c r="Q92" s="32">
        <v>105</v>
      </c>
      <c r="R92" s="33" t="b">
        <v>0</v>
      </c>
      <c r="S92" s="33" t="s">
        <v>267</v>
      </c>
      <c r="T92" s="78"/>
      <c r="U92" s="78"/>
      <c r="V92" s="1"/>
      <c r="W92" s="77"/>
    </row>
    <row r="93" spans="1:23" ht="15.75" thickBot="1">
      <c r="A93" s="39"/>
      <c r="B93" s="39"/>
      <c r="E93" s="39"/>
      <c r="F93" s="39"/>
      <c r="G93" s="39"/>
      <c r="H93" s="39"/>
      <c r="I93" s="39"/>
      <c r="J93" s="39"/>
      <c r="K93" s="39"/>
      <c r="L93" s="33" t="s">
        <v>144</v>
      </c>
      <c r="M93" s="31">
        <v>2.6</v>
      </c>
      <c r="N93" s="31">
        <v>0.5</v>
      </c>
      <c r="O93" s="32">
        <v>7</v>
      </c>
      <c r="P93" s="32">
        <v>245</v>
      </c>
      <c r="Q93" s="32">
        <v>105</v>
      </c>
      <c r="R93" s="33" t="b">
        <v>0</v>
      </c>
      <c r="S93" s="33" t="s">
        <v>267</v>
      </c>
      <c r="T93" s="78"/>
      <c r="U93" s="78"/>
      <c r="V93" s="1"/>
      <c r="W93" s="77"/>
    </row>
    <row r="94" spans="1:23" ht="15.75" thickBot="1">
      <c r="A94" s="39"/>
      <c r="B94" s="39"/>
      <c r="E94" s="39"/>
      <c r="F94" s="39"/>
      <c r="G94" s="39"/>
      <c r="H94" s="39"/>
      <c r="I94" s="39"/>
      <c r="J94" s="39"/>
      <c r="K94" s="39"/>
      <c r="L94" s="33" t="s">
        <v>164</v>
      </c>
      <c r="M94" s="31">
        <v>0.6</v>
      </c>
      <c r="N94" s="31">
        <v>0.5</v>
      </c>
      <c r="O94" s="32">
        <v>30</v>
      </c>
      <c r="P94" s="32">
        <v>250</v>
      </c>
      <c r="Q94" s="32">
        <v>250</v>
      </c>
      <c r="R94" s="33" t="b">
        <v>0</v>
      </c>
      <c r="S94" s="33" t="s">
        <v>267</v>
      </c>
      <c r="T94" s="78"/>
      <c r="U94" s="78"/>
      <c r="V94" s="1"/>
      <c r="W94" s="77"/>
    </row>
    <row r="95" spans="1:23" ht="15.75" thickBot="1">
      <c r="A95" s="39"/>
      <c r="B95" s="39"/>
      <c r="E95" s="39"/>
      <c r="F95" s="39"/>
      <c r="G95" s="39"/>
      <c r="H95" s="39"/>
      <c r="I95" s="39"/>
      <c r="J95" s="39"/>
      <c r="K95" s="39"/>
      <c r="L95" s="33" t="s">
        <v>145</v>
      </c>
      <c r="M95" s="31">
        <v>0.5</v>
      </c>
      <c r="N95" s="31">
        <v>0.5</v>
      </c>
      <c r="O95" s="32">
        <v>7</v>
      </c>
      <c r="P95" s="32">
        <v>245</v>
      </c>
      <c r="Q95" s="32">
        <v>105</v>
      </c>
      <c r="R95" s="33" t="b">
        <v>0</v>
      </c>
      <c r="S95" s="33" t="s">
        <v>267</v>
      </c>
      <c r="T95" s="78"/>
      <c r="U95" s="78"/>
      <c r="V95" s="1"/>
      <c r="W95" s="77"/>
    </row>
    <row r="96" spans="1:23" ht="15.75" thickBot="1">
      <c r="A96" s="39"/>
      <c r="B96" s="39"/>
      <c r="E96" s="39"/>
      <c r="F96" s="39"/>
      <c r="G96" s="39"/>
      <c r="H96" s="39"/>
      <c r="I96" s="39"/>
      <c r="J96" s="39"/>
      <c r="K96" s="39"/>
      <c r="L96" s="33" t="s">
        <v>146</v>
      </c>
      <c r="M96" s="31">
        <v>1</v>
      </c>
      <c r="N96" s="31">
        <v>0.5</v>
      </c>
      <c r="O96" s="32">
        <v>30</v>
      </c>
      <c r="P96" s="32">
        <v>250</v>
      </c>
      <c r="Q96" s="32">
        <v>250</v>
      </c>
      <c r="R96" s="33" t="b">
        <v>0</v>
      </c>
      <c r="S96" s="33" t="s">
        <v>267</v>
      </c>
      <c r="T96" s="78"/>
      <c r="U96" s="78"/>
      <c r="V96" s="1"/>
      <c r="W96" s="77"/>
    </row>
    <row r="97" spans="1:25" ht="15.75" thickBot="1">
      <c r="A97" s="39"/>
      <c r="B97" s="39"/>
      <c r="E97" s="39"/>
      <c r="F97" s="39"/>
      <c r="G97" s="39"/>
      <c r="H97" s="39"/>
      <c r="I97" s="39"/>
      <c r="J97" s="39"/>
      <c r="K97" s="39"/>
      <c r="L97" s="33" t="s">
        <v>147</v>
      </c>
      <c r="M97" s="31">
        <v>1.5</v>
      </c>
      <c r="N97" s="31">
        <v>0.5</v>
      </c>
      <c r="O97" s="32">
        <v>30</v>
      </c>
      <c r="P97" s="32">
        <v>250</v>
      </c>
      <c r="Q97" s="32">
        <v>250</v>
      </c>
      <c r="R97" s="33" t="b">
        <v>0</v>
      </c>
      <c r="S97" s="33" t="s">
        <v>267</v>
      </c>
      <c r="T97" s="78"/>
      <c r="U97" s="78"/>
      <c r="V97" s="1"/>
      <c r="W97" s="77"/>
    </row>
    <row r="98" spans="1:25" ht="15.75" thickBot="1">
      <c r="A98" s="39"/>
      <c r="B98" s="39"/>
      <c r="E98" s="39"/>
      <c r="F98" s="39"/>
      <c r="G98" s="39"/>
      <c r="H98" s="39"/>
      <c r="I98" s="39"/>
      <c r="J98" s="39"/>
      <c r="K98" s="39"/>
      <c r="L98" s="33" t="s">
        <v>147</v>
      </c>
      <c r="M98" s="31">
        <v>0.9</v>
      </c>
      <c r="N98" s="31">
        <v>0.5</v>
      </c>
      <c r="O98" s="32">
        <v>30</v>
      </c>
      <c r="P98" s="32">
        <v>250</v>
      </c>
      <c r="Q98" s="32">
        <v>250</v>
      </c>
      <c r="R98" s="33" t="b">
        <v>0</v>
      </c>
      <c r="S98" s="33" t="s">
        <v>267</v>
      </c>
      <c r="T98" s="78"/>
      <c r="U98" s="78"/>
      <c r="V98" s="1"/>
      <c r="W98" s="77"/>
    </row>
    <row r="99" spans="1:25" ht="15.75" thickBot="1">
      <c r="A99" s="39"/>
      <c r="B99" s="39"/>
      <c r="E99" s="39"/>
      <c r="F99" s="39"/>
      <c r="G99" s="39"/>
      <c r="H99" s="39"/>
      <c r="I99" s="39"/>
      <c r="J99" s="39"/>
      <c r="K99" s="39"/>
      <c r="L99" s="33" t="s">
        <v>148</v>
      </c>
      <c r="M99" s="31">
        <v>1.4</v>
      </c>
      <c r="N99" s="31">
        <v>0.2</v>
      </c>
      <c r="O99" s="32">
        <v>333</v>
      </c>
      <c r="P99" s="32">
        <v>275</v>
      </c>
      <c r="Q99" s="32">
        <v>475</v>
      </c>
      <c r="R99" s="33" t="b">
        <v>0</v>
      </c>
      <c r="S99" s="33" t="s">
        <v>254</v>
      </c>
      <c r="T99" s="78"/>
      <c r="U99" s="78"/>
      <c r="V99" s="1"/>
      <c r="W99" s="77"/>
    </row>
    <row r="100" spans="1:25" ht="15.75" thickBot="1">
      <c r="A100" s="39"/>
      <c r="B100" s="39"/>
      <c r="E100" s="39"/>
      <c r="F100" s="39"/>
      <c r="G100" s="39"/>
      <c r="H100" s="39"/>
      <c r="I100" s="39"/>
      <c r="J100" s="39"/>
      <c r="K100" s="39"/>
      <c r="L100" s="33" t="s">
        <v>149</v>
      </c>
      <c r="M100" s="31">
        <v>1.4</v>
      </c>
      <c r="N100" s="31">
        <v>0.2</v>
      </c>
      <c r="O100" s="32">
        <v>333</v>
      </c>
      <c r="P100" s="32">
        <v>275</v>
      </c>
      <c r="Q100" s="32">
        <v>475</v>
      </c>
      <c r="R100" s="33" t="b">
        <v>0</v>
      </c>
      <c r="S100" s="33" t="s">
        <v>254</v>
      </c>
      <c r="T100" s="78"/>
      <c r="U100" s="78"/>
      <c r="V100" s="1"/>
      <c r="W100" s="77"/>
    </row>
    <row r="101" spans="1:25" ht="15.75" thickBot="1">
      <c r="A101" s="39"/>
      <c r="B101" s="39"/>
      <c r="E101" s="39"/>
      <c r="F101" s="39"/>
      <c r="G101" s="39"/>
      <c r="H101" s="39"/>
      <c r="I101" s="39"/>
      <c r="J101" s="39"/>
      <c r="K101" s="39"/>
      <c r="L101" s="33" t="s">
        <v>169</v>
      </c>
      <c r="M101" s="31">
        <v>0.9</v>
      </c>
      <c r="N101" s="31">
        <v>0.2</v>
      </c>
      <c r="O101" s="32">
        <v>333</v>
      </c>
      <c r="P101" s="32">
        <v>275</v>
      </c>
      <c r="Q101" s="32">
        <v>475</v>
      </c>
      <c r="R101" s="33" t="b">
        <v>0</v>
      </c>
      <c r="S101" s="33" t="s">
        <v>254</v>
      </c>
      <c r="T101" s="78"/>
      <c r="U101" s="78"/>
      <c r="V101" s="1"/>
      <c r="W101" s="77"/>
    </row>
    <row r="102" spans="1:25" ht="13.5" thickBot="1">
      <c r="A102" s="39"/>
      <c r="B102" s="39"/>
      <c r="E102" s="39"/>
      <c r="F102" s="39"/>
      <c r="G102" s="39"/>
      <c r="H102" s="39"/>
      <c r="I102" s="39"/>
      <c r="J102" s="39"/>
      <c r="K102" s="39"/>
      <c r="L102" s="33" t="s">
        <v>150</v>
      </c>
      <c r="M102" s="31">
        <v>1.9</v>
      </c>
      <c r="N102" s="31">
        <v>0.2</v>
      </c>
      <c r="O102" s="32">
        <v>1000</v>
      </c>
      <c r="P102" s="32">
        <v>275</v>
      </c>
      <c r="Q102" s="32">
        <v>475</v>
      </c>
      <c r="R102" s="33" t="b">
        <v>0</v>
      </c>
      <c r="S102" s="33" t="s">
        <v>272</v>
      </c>
      <c r="T102" s="78"/>
      <c r="U102" s="78"/>
      <c r="W102" s="77"/>
    </row>
    <row r="103" spans="1:25" ht="39" thickBot="1">
      <c r="A103" s="39"/>
      <c r="B103" s="39"/>
      <c r="E103" s="39"/>
      <c r="F103" s="39"/>
      <c r="G103" s="39"/>
      <c r="H103" s="39"/>
      <c r="I103" s="39"/>
      <c r="J103" s="39"/>
      <c r="K103" s="39"/>
      <c r="L103" s="28" t="s">
        <v>256</v>
      </c>
      <c r="M103" s="27" t="s">
        <v>154</v>
      </c>
      <c r="N103" s="27" t="s">
        <v>151</v>
      </c>
      <c r="O103" s="27" t="s">
        <v>155</v>
      </c>
      <c r="P103" s="27" t="s">
        <v>152</v>
      </c>
      <c r="Q103" s="27" t="s">
        <v>153</v>
      </c>
      <c r="R103" s="27" t="s">
        <v>288</v>
      </c>
      <c r="S103" s="27" t="s">
        <v>226</v>
      </c>
      <c r="T103" s="25" t="s">
        <v>320</v>
      </c>
      <c r="U103" s="25" t="s">
        <v>311</v>
      </c>
      <c r="V103" s="25" t="s">
        <v>319</v>
      </c>
      <c r="X103" s="25" t="s">
        <v>309</v>
      </c>
      <c r="Y103" s="25" t="s">
        <v>310</v>
      </c>
    </row>
    <row r="104" spans="1:25" ht="13.5" thickBot="1">
      <c r="A104" s="39"/>
      <c r="B104" s="39"/>
      <c r="E104" s="39"/>
      <c r="F104" s="39"/>
      <c r="G104" s="39"/>
      <c r="H104" s="39"/>
      <c r="I104" s="39"/>
      <c r="J104" s="39"/>
      <c r="K104" s="39"/>
      <c r="L104" s="33" t="s">
        <v>228</v>
      </c>
      <c r="M104" s="31">
        <v>0.9</v>
      </c>
      <c r="N104" s="31">
        <v>0.64584243925746465</v>
      </c>
      <c r="O104" s="32">
        <v>143</v>
      </c>
      <c r="P104" s="32">
        <v>375</v>
      </c>
      <c r="Q104" s="32">
        <v>625</v>
      </c>
      <c r="R104" s="33">
        <v>1.00396</v>
      </c>
      <c r="S104" s="33" t="s">
        <v>272</v>
      </c>
      <c r="T104" s="26">
        <v>0.3</v>
      </c>
      <c r="U104" s="26">
        <v>0.15</v>
      </c>
      <c r="V104" s="26">
        <v>0.3</v>
      </c>
      <c r="X104" s="32">
        <v>0</v>
      </c>
      <c r="Y104" s="90">
        <v>3</v>
      </c>
    </row>
    <row r="105" spans="1:25" ht="13.5" thickBot="1">
      <c r="A105" s="39"/>
      <c r="B105" s="39"/>
      <c r="E105" s="39"/>
      <c r="F105" s="39"/>
      <c r="G105" s="39"/>
      <c r="H105" s="39"/>
      <c r="I105" s="39"/>
      <c r="J105" s="39"/>
      <c r="K105" s="39"/>
      <c r="L105" s="33" t="s">
        <v>229</v>
      </c>
      <c r="M105" s="31">
        <v>1.2</v>
      </c>
      <c r="N105" s="31">
        <v>1.021791006619454</v>
      </c>
      <c r="O105" s="32">
        <v>50</v>
      </c>
      <c r="P105" s="32">
        <v>246</v>
      </c>
      <c r="Q105" s="32">
        <v>171</v>
      </c>
      <c r="R105" s="33">
        <v>0.60765999999999998</v>
      </c>
      <c r="S105" s="33" t="s">
        <v>266</v>
      </c>
      <c r="T105" s="26">
        <v>0.4</v>
      </c>
      <c r="U105" s="26">
        <v>0.3</v>
      </c>
      <c r="V105" s="26">
        <v>0.4</v>
      </c>
      <c r="X105" s="32">
        <v>1.05</v>
      </c>
      <c r="Y105" s="90">
        <v>5</v>
      </c>
    </row>
    <row r="106" spans="1:25" ht="13.5" thickBot="1">
      <c r="A106" s="39"/>
      <c r="B106" s="39"/>
      <c r="E106" s="39"/>
      <c r="F106" s="39"/>
      <c r="G106" s="39"/>
      <c r="H106" s="39"/>
      <c r="I106" s="39"/>
      <c r="J106" s="39"/>
      <c r="K106" s="39"/>
      <c r="L106" s="33" t="s">
        <v>230</v>
      </c>
      <c r="M106" s="31">
        <v>1.2</v>
      </c>
      <c r="N106" s="31">
        <v>1.0878100402192215</v>
      </c>
      <c r="O106" s="32">
        <v>9</v>
      </c>
      <c r="P106" s="32">
        <v>245</v>
      </c>
      <c r="Q106" s="32">
        <v>112</v>
      </c>
      <c r="R106" s="33">
        <v>0.26419999999999999</v>
      </c>
      <c r="S106" s="33" t="s">
        <v>267</v>
      </c>
      <c r="T106" s="26">
        <v>0.4</v>
      </c>
      <c r="U106" s="26">
        <v>0.05</v>
      </c>
      <c r="V106" s="26">
        <v>0.4</v>
      </c>
      <c r="X106" s="32">
        <v>2.0499999999999998</v>
      </c>
      <c r="Y106" s="90">
        <v>6.5</v>
      </c>
    </row>
    <row r="107" spans="1:25" ht="13.5" thickBot="1">
      <c r="A107" s="39"/>
      <c r="B107" s="39"/>
      <c r="E107" s="39"/>
      <c r="F107" s="39"/>
      <c r="G107" s="39"/>
      <c r="H107" s="39"/>
      <c r="I107" s="39"/>
      <c r="J107" s="39"/>
      <c r="K107" s="39"/>
      <c r="L107" s="33" t="s">
        <v>231</v>
      </c>
      <c r="M107" s="31">
        <v>1.2</v>
      </c>
      <c r="N107" s="31">
        <v>1.0878100402192215</v>
      </c>
      <c r="O107" s="32">
        <v>9</v>
      </c>
      <c r="P107" s="32">
        <v>245</v>
      </c>
      <c r="Q107" s="32">
        <v>105</v>
      </c>
      <c r="R107" s="33">
        <v>0.26419999999999999</v>
      </c>
      <c r="S107" s="33" t="s">
        <v>267</v>
      </c>
      <c r="T107" s="26">
        <v>0.4</v>
      </c>
      <c r="U107" s="26">
        <v>0.05</v>
      </c>
      <c r="V107" s="26">
        <v>0.4</v>
      </c>
      <c r="X107" s="32">
        <v>3.0500000000000003</v>
      </c>
      <c r="Y107" s="90">
        <v>8</v>
      </c>
    </row>
    <row r="108" spans="1:25" ht="13.5" thickBot="1">
      <c r="A108" s="39"/>
      <c r="B108" s="39"/>
      <c r="E108" s="39"/>
      <c r="F108" s="39"/>
      <c r="G108" s="39"/>
      <c r="H108" s="39"/>
      <c r="I108" s="39"/>
      <c r="J108" s="39"/>
      <c r="K108" s="39"/>
      <c r="L108" s="33" t="s">
        <v>232</v>
      </c>
      <c r="M108" s="31">
        <v>1.3</v>
      </c>
      <c r="N108" s="31">
        <v>1.5282358648674137</v>
      </c>
      <c r="O108" s="32">
        <v>30</v>
      </c>
      <c r="P108" s="32">
        <v>274</v>
      </c>
      <c r="Q108" s="32">
        <v>334</v>
      </c>
      <c r="R108" s="33">
        <v>10.0396</v>
      </c>
      <c r="S108" s="33" t="s">
        <v>268</v>
      </c>
      <c r="T108" s="26">
        <v>1.1000000000000001</v>
      </c>
      <c r="U108" s="26">
        <v>2</v>
      </c>
      <c r="V108" s="26">
        <v>1.2</v>
      </c>
      <c r="X108" s="32">
        <v>4.05</v>
      </c>
      <c r="Y108" s="90">
        <v>9.4</v>
      </c>
    </row>
    <row r="109" spans="1:25" ht="13.5" thickBot="1">
      <c r="A109" s="39"/>
      <c r="B109" s="39"/>
      <c r="E109" s="39"/>
      <c r="F109" s="39"/>
      <c r="G109" s="39"/>
      <c r="H109" s="39"/>
      <c r="I109" s="39"/>
      <c r="J109" s="39"/>
      <c r="K109" s="39"/>
      <c r="L109" s="33" t="s">
        <v>233</v>
      </c>
      <c r="M109" s="31">
        <v>1.4</v>
      </c>
      <c r="N109" s="31">
        <v>1.5282358648674137</v>
      </c>
      <c r="O109" s="32">
        <v>30</v>
      </c>
      <c r="P109" s="32">
        <v>274</v>
      </c>
      <c r="Q109" s="32">
        <v>334</v>
      </c>
      <c r="R109" s="33">
        <v>10.0396</v>
      </c>
      <c r="S109" s="33" t="s">
        <v>268</v>
      </c>
      <c r="T109" s="26">
        <v>1.1000000000000001</v>
      </c>
      <c r="U109" s="26">
        <v>2</v>
      </c>
      <c r="V109" s="26">
        <v>1.2</v>
      </c>
      <c r="X109" s="32">
        <v>5.05</v>
      </c>
      <c r="Y109" s="90">
        <v>10.7</v>
      </c>
    </row>
    <row r="110" spans="1:25" ht="13.5" thickBot="1">
      <c r="A110" s="39"/>
      <c r="B110" s="39"/>
      <c r="E110" s="39"/>
      <c r="F110" s="39"/>
      <c r="G110" s="39"/>
      <c r="H110" s="39"/>
      <c r="I110" s="39"/>
      <c r="J110" s="39"/>
      <c r="K110" s="39"/>
      <c r="L110" s="33" t="s">
        <v>234</v>
      </c>
      <c r="M110" s="31">
        <v>1.6</v>
      </c>
      <c r="N110" s="31">
        <v>1.5282358648674137</v>
      </c>
      <c r="O110" s="32">
        <v>30</v>
      </c>
      <c r="P110" s="32">
        <v>274</v>
      </c>
      <c r="Q110" s="32">
        <v>334</v>
      </c>
      <c r="R110" s="33">
        <v>10.0396</v>
      </c>
      <c r="S110" s="33" t="s">
        <v>268</v>
      </c>
      <c r="T110" s="26">
        <v>1.1000000000000001</v>
      </c>
      <c r="U110" s="26">
        <v>2</v>
      </c>
      <c r="V110" s="26">
        <v>1.2</v>
      </c>
      <c r="X110" s="32">
        <v>6.05</v>
      </c>
      <c r="Y110" s="90">
        <v>11.8</v>
      </c>
    </row>
    <row r="111" spans="1:25" ht="13.5" thickBot="1">
      <c r="A111" s="39"/>
      <c r="B111" s="39"/>
      <c r="E111" s="39"/>
      <c r="F111" s="39"/>
      <c r="G111" s="39"/>
      <c r="H111" s="39"/>
      <c r="I111" s="39"/>
      <c r="J111" s="39"/>
      <c r="K111" s="39"/>
      <c r="L111" s="33" t="s">
        <v>259</v>
      </c>
      <c r="M111" s="31">
        <v>1</v>
      </c>
      <c r="N111" s="31">
        <v>1.2598079682597403</v>
      </c>
      <c r="O111" s="32">
        <v>150</v>
      </c>
      <c r="P111" s="32">
        <f t="shared" ref="P111:Q113" si="0">P167</f>
        <v>0</v>
      </c>
      <c r="Q111" s="32">
        <f t="shared" si="0"/>
        <v>0</v>
      </c>
      <c r="R111" s="33">
        <v>20</v>
      </c>
      <c r="S111" s="33" t="s">
        <v>270</v>
      </c>
      <c r="T111" s="26">
        <v>3</v>
      </c>
      <c r="U111" s="26">
        <v>2.5</v>
      </c>
      <c r="V111" s="26">
        <v>3.5</v>
      </c>
      <c r="X111" s="32">
        <v>7.05</v>
      </c>
      <c r="Y111" s="90">
        <v>12.8</v>
      </c>
    </row>
    <row r="112" spans="1:25" ht="13.5" thickBot="1">
      <c r="A112" s="39"/>
      <c r="B112" s="39"/>
      <c r="E112" s="39"/>
      <c r="F112" s="39"/>
      <c r="G112" s="39"/>
      <c r="H112" s="39"/>
      <c r="I112" s="39"/>
      <c r="J112" s="39"/>
      <c r="K112" s="39"/>
      <c r="L112" s="33" t="s">
        <v>258</v>
      </c>
      <c r="M112" s="31">
        <v>1</v>
      </c>
      <c r="N112" s="31">
        <v>1.2598079682597403</v>
      </c>
      <c r="O112" s="32">
        <v>150</v>
      </c>
      <c r="P112" s="32">
        <f t="shared" si="0"/>
        <v>0</v>
      </c>
      <c r="Q112" s="32">
        <f t="shared" si="0"/>
        <v>0</v>
      </c>
      <c r="R112" s="33">
        <v>10</v>
      </c>
      <c r="S112" s="33" t="s">
        <v>270</v>
      </c>
      <c r="T112" s="26">
        <v>3</v>
      </c>
      <c r="U112" s="26">
        <v>2.5</v>
      </c>
      <c r="V112" s="26">
        <v>3.5</v>
      </c>
      <c r="X112" s="32">
        <v>8.0500000000000007</v>
      </c>
      <c r="Y112" s="90">
        <v>13.7</v>
      </c>
    </row>
    <row r="113" spans="1:25" ht="13.5" thickBot="1">
      <c r="A113" s="39"/>
      <c r="B113" s="39"/>
      <c r="E113" s="39"/>
      <c r="F113" s="39"/>
      <c r="G113" s="39"/>
      <c r="H113" s="39"/>
      <c r="I113" s="39"/>
      <c r="J113" s="39"/>
      <c r="K113" s="39"/>
      <c r="L113" s="33" t="s">
        <v>257</v>
      </c>
      <c r="M113" s="31">
        <v>1</v>
      </c>
      <c r="N113" s="31">
        <v>1.2598079682597403</v>
      </c>
      <c r="O113" s="32">
        <v>150</v>
      </c>
      <c r="P113" s="32">
        <f t="shared" si="0"/>
        <v>0</v>
      </c>
      <c r="Q113" s="32">
        <f t="shared" si="0"/>
        <v>0</v>
      </c>
      <c r="R113" s="33">
        <v>14</v>
      </c>
      <c r="S113" s="33" t="s">
        <v>270</v>
      </c>
      <c r="T113" s="26">
        <v>3</v>
      </c>
      <c r="U113" s="26">
        <v>2.5</v>
      </c>
      <c r="V113" s="26">
        <v>3.5</v>
      </c>
      <c r="X113" s="32">
        <v>9.0499999999999989</v>
      </c>
      <c r="Y113" s="90">
        <v>14.6</v>
      </c>
    </row>
    <row r="114" spans="1:25" ht="13.5" thickBot="1">
      <c r="A114" s="39"/>
      <c r="B114" s="39"/>
      <c r="E114" s="39"/>
      <c r="F114" s="39"/>
      <c r="G114" s="39"/>
      <c r="H114" s="39"/>
      <c r="I114" s="39"/>
      <c r="J114" s="39"/>
      <c r="K114" s="39"/>
      <c r="L114" s="33" t="s">
        <v>290</v>
      </c>
      <c r="M114" s="31">
        <v>1.2</v>
      </c>
      <c r="N114" s="31">
        <v>1.021791006619454</v>
      </c>
      <c r="O114" s="32">
        <v>25</v>
      </c>
      <c r="P114" s="32">
        <v>246</v>
      </c>
      <c r="Q114" s="32">
        <v>171</v>
      </c>
      <c r="R114" s="33">
        <v>0.6</v>
      </c>
      <c r="S114" s="33" t="s">
        <v>266</v>
      </c>
      <c r="T114" s="26">
        <v>0.4</v>
      </c>
      <c r="U114" s="26">
        <v>0.15</v>
      </c>
      <c r="V114" s="26">
        <v>0.4</v>
      </c>
      <c r="X114" s="32">
        <v>10.049999999999999</v>
      </c>
      <c r="Y114" s="90">
        <v>15.4</v>
      </c>
    </row>
    <row r="115" spans="1:25" ht="13.5" thickBot="1">
      <c r="A115" s="39"/>
      <c r="B115" s="39"/>
      <c r="E115" s="39"/>
      <c r="F115" s="39"/>
      <c r="G115" s="39"/>
      <c r="H115" s="39"/>
      <c r="I115" s="39"/>
      <c r="J115" s="39"/>
      <c r="K115" s="39"/>
      <c r="L115" s="33" t="s">
        <v>235</v>
      </c>
      <c r="M115" s="31">
        <v>1</v>
      </c>
      <c r="N115" s="31">
        <v>1.8631659983238325</v>
      </c>
      <c r="O115" s="32">
        <v>50</v>
      </c>
      <c r="P115" s="32">
        <v>250</v>
      </c>
      <c r="Q115" s="32">
        <v>200</v>
      </c>
      <c r="R115" s="33">
        <v>1.00396</v>
      </c>
      <c r="S115" s="33" t="s">
        <v>303</v>
      </c>
      <c r="T115" s="26">
        <v>0.65</v>
      </c>
      <c r="U115" s="26">
        <v>0.3</v>
      </c>
      <c r="V115" s="26">
        <v>0.65</v>
      </c>
      <c r="X115" s="32">
        <v>11.049999999999999</v>
      </c>
      <c r="Y115" s="90">
        <v>16</v>
      </c>
    </row>
    <row r="116" spans="1:25" ht="13.5" thickBot="1">
      <c r="A116" s="39"/>
      <c r="B116" s="39"/>
      <c r="E116" s="39"/>
      <c r="F116" s="39"/>
      <c r="G116" s="39"/>
      <c r="H116" s="39"/>
      <c r="I116" s="39"/>
      <c r="J116" s="39"/>
      <c r="K116" s="39"/>
      <c r="L116" s="33" t="s">
        <v>236</v>
      </c>
      <c r="M116" s="31">
        <v>1.1000000000000001</v>
      </c>
      <c r="N116" s="31">
        <v>1.8631659983238325</v>
      </c>
      <c r="O116" s="32">
        <v>50</v>
      </c>
      <c r="P116" s="32">
        <v>250</v>
      </c>
      <c r="Q116" s="32">
        <v>200</v>
      </c>
      <c r="R116" s="33">
        <v>1.00396</v>
      </c>
      <c r="S116" s="33" t="s">
        <v>303</v>
      </c>
      <c r="T116" s="26">
        <v>0.65</v>
      </c>
      <c r="U116" s="26">
        <v>0.3</v>
      </c>
      <c r="V116" s="26">
        <v>0.65</v>
      </c>
      <c r="X116" s="32">
        <v>12.049999999999999</v>
      </c>
      <c r="Y116" s="90">
        <v>16.5</v>
      </c>
    </row>
    <row r="117" spans="1:25" ht="13.5" thickBot="1">
      <c r="A117" s="39"/>
      <c r="B117" s="39"/>
      <c r="E117" s="39"/>
      <c r="F117" s="39"/>
      <c r="G117" s="39"/>
      <c r="H117" s="39"/>
      <c r="I117" s="39"/>
      <c r="J117" s="39"/>
      <c r="K117" s="39"/>
      <c r="L117" s="33" t="s">
        <v>237</v>
      </c>
      <c r="M117" s="31">
        <v>1</v>
      </c>
      <c r="N117" s="31">
        <v>1.9917180724224457</v>
      </c>
      <c r="O117" s="32">
        <v>100</v>
      </c>
      <c r="P117" s="32">
        <v>250</v>
      </c>
      <c r="Q117" s="32">
        <v>213</v>
      </c>
      <c r="R117" s="33">
        <v>3.0118800000000001</v>
      </c>
      <c r="S117" s="33" t="s">
        <v>269</v>
      </c>
      <c r="T117" s="26">
        <v>0.48</v>
      </c>
      <c r="U117" s="26">
        <v>0.625</v>
      </c>
      <c r="V117" s="26">
        <v>0.8</v>
      </c>
      <c r="X117" s="32">
        <v>13.049999999999999</v>
      </c>
      <c r="Y117" s="90">
        <v>17</v>
      </c>
    </row>
    <row r="118" spans="1:25" ht="13.5" thickBot="1">
      <c r="A118" s="39"/>
      <c r="B118" s="39"/>
      <c r="E118" s="39"/>
      <c r="F118" s="39"/>
      <c r="G118" s="39"/>
      <c r="H118" s="39"/>
      <c r="I118" s="39"/>
      <c r="J118" s="39"/>
      <c r="K118" s="39"/>
      <c r="L118" s="33" t="s">
        <v>289</v>
      </c>
      <c r="M118" s="31">
        <v>1.2</v>
      </c>
      <c r="N118" s="31">
        <v>1.021791006619454</v>
      </c>
      <c r="O118" s="32">
        <v>25</v>
      </c>
      <c r="P118" s="32">
        <v>246</v>
      </c>
      <c r="Q118" s="32">
        <v>171</v>
      </c>
      <c r="R118" s="33">
        <v>1.8</v>
      </c>
      <c r="S118" s="33" t="s">
        <v>266</v>
      </c>
      <c r="T118" s="26">
        <v>0.65</v>
      </c>
      <c r="U118" s="26">
        <v>0.3</v>
      </c>
      <c r="V118" s="26">
        <v>0.65</v>
      </c>
      <c r="X118" s="32">
        <v>14.049999999999999</v>
      </c>
      <c r="Y118" s="90">
        <v>17.5</v>
      </c>
    </row>
    <row r="119" spans="1:25" ht="13.5" thickBot="1">
      <c r="A119" s="39"/>
      <c r="B119" s="39"/>
      <c r="E119" s="39"/>
      <c r="F119" s="39"/>
      <c r="G119" s="39"/>
      <c r="H119" s="39"/>
      <c r="I119" s="39"/>
      <c r="J119" s="39"/>
      <c r="K119" s="39"/>
      <c r="L119" s="33" t="s">
        <v>238</v>
      </c>
      <c r="M119" s="31">
        <v>1.2</v>
      </c>
      <c r="N119" s="31">
        <v>1.9917180724224457</v>
      </c>
      <c r="O119" s="32">
        <v>100</v>
      </c>
      <c r="P119" s="32">
        <v>250</v>
      </c>
      <c r="Q119" s="32">
        <v>213</v>
      </c>
      <c r="R119" s="33">
        <v>3.0118800000000001</v>
      </c>
      <c r="S119" s="33" t="s">
        <v>269</v>
      </c>
      <c r="T119" s="26">
        <v>0.48</v>
      </c>
      <c r="U119" s="26">
        <v>0.625</v>
      </c>
      <c r="V119" s="26">
        <v>0.8</v>
      </c>
      <c r="X119" s="32">
        <v>15.049999999999999</v>
      </c>
      <c r="Y119" s="90">
        <v>18</v>
      </c>
    </row>
    <row r="120" spans="1:25" ht="13.5" thickBot="1">
      <c r="A120" s="39"/>
      <c r="B120" s="39"/>
      <c r="E120" s="39"/>
      <c r="F120" s="39"/>
      <c r="G120" s="39"/>
      <c r="H120" s="39"/>
      <c r="I120" s="39"/>
      <c r="J120" s="39"/>
      <c r="K120" s="39"/>
      <c r="L120" s="33" t="s">
        <v>262</v>
      </c>
      <c r="M120" s="31">
        <v>1</v>
      </c>
      <c r="N120" s="31">
        <v>1.2598079682597403</v>
      </c>
      <c r="O120" s="32">
        <v>200</v>
      </c>
      <c r="P120" s="32">
        <f t="shared" ref="P120:Q122" si="1">P181</f>
        <v>0</v>
      </c>
      <c r="Q120" s="32">
        <f t="shared" si="1"/>
        <v>0</v>
      </c>
      <c r="R120" s="33">
        <v>20</v>
      </c>
      <c r="S120" s="33" t="s">
        <v>270</v>
      </c>
      <c r="T120" s="26">
        <v>3.4000000000000004</v>
      </c>
      <c r="U120" s="26">
        <v>2.5</v>
      </c>
      <c r="V120" s="26">
        <v>4.25</v>
      </c>
      <c r="X120" s="32">
        <v>16.05</v>
      </c>
      <c r="Y120" s="90">
        <v>18.399999999999999</v>
      </c>
    </row>
    <row r="121" spans="1:25" ht="13.5" thickBot="1">
      <c r="A121" s="39"/>
      <c r="B121" s="39"/>
      <c r="E121" s="39"/>
      <c r="F121" s="39"/>
      <c r="G121" s="39"/>
      <c r="H121" s="39"/>
      <c r="I121" s="39"/>
      <c r="J121" s="39"/>
      <c r="K121" s="39"/>
      <c r="L121" s="33" t="s">
        <v>260</v>
      </c>
      <c r="M121" s="31">
        <v>1</v>
      </c>
      <c r="N121" s="31">
        <v>1.2598079682597403</v>
      </c>
      <c r="O121" s="32">
        <v>200</v>
      </c>
      <c r="P121" s="32">
        <f t="shared" si="1"/>
        <v>0</v>
      </c>
      <c r="Q121" s="32">
        <f t="shared" si="1"/>
        <v>0</v>
      </c>
      <c r="R121" s="33">
        <v>10</v>
      </c>
      <c r="S121" s="33" t="s">
        <v>270</v>
      </c>
      <c r="T121" s="26">
        <v>2.6</v>
      </c>
      <c r="U121" s="26">
        <v>2.5</v>
      </c>
      <c r="V121" s="26">
        <v>3.25</v>
      </c>
      <c r="X121" s="32">
        <v>17.05</v>
      </c>
      <c r="Y121" s="90">
        <v>18.8</v>
      </c>
    </row>
    <row r="122" spans="1:25" ht="13.5" thickBot="1">
      <c r="A122" s="39"/>
      <c r="B122" s="39"/>
      <c r="E122" s="39"/>
      <c r="F122" s="39"/>
      <c r="G122" s="39"/>
      <c r="H122" s="39"/>
      <c r="I122" s="39"/>
      <c r="J122" s="39"/>
      <c r="K122" s="39"/>
      <c r="L122" s="33" t="s">
        <v>261</v>
      </c>
      <c r="M122" s="31">
        <v>1</v>
      </c>
      <c r="N122" s="31">
        <v>1.2598079682597403</v>
      </c>
      <c r="O122" s="32">
        <v>200</v>
      </c>
      <c r="P122" s="32">
        <f t="shared" si="1"/>
        <v>0</v>
      </c>
      <c r="Q122" s="32">
        <f t="shared" si="1"/>
        <v>0</v>
      </c>
      <c r="R122" s="33">
        <v>14</v>
      </c>
      <c r="S122" s="33" t="s">
        <v>270</v>
      </c>
      <c r="T122" s="26">
        <v>3</v>
      </c>
      <c r="U122" s="26">
        <v>2.5</v>
      </c>
      <c r="V122" s="26">
        <v>3.75</v>
      </c>
      <c r="X122" s="32">
        <v>18.05</v>
      </c>
      <c r="Y122" s="90">
        <v>19.2</v>
      </c>
    </row>
    <row r="123" spans="1:25" ht="13.5" thickBot="1">
      <c r="A123" s="39"/>
      <c r="B123" s="39"/>
      <c r="E123" s="39"/>
      <c r="F123" s="39"/>
      <c r="G123" s="39"/>
      <c r="H123" s="39"/>
      <c r="I123" s="39"/>
      <c r="J123" s="39"/>
      <c r="K123" s="39"/>
      <c r="L123" s="33" t="s">
        <v>239</v>
      </c>
      <c r="M123" s="31">
        <v>1.3</v>
      </c>
      <c r="N123" s="31">
        <v>1.021791006619454</v>
      </c>
      <c r="O123" s="32">
        <v>100</v>
      </c>
      <c r="P123" s="32">
        <v>250</v>
      </c>
      <c r="Q123" s="32">
        <v>250</v>
      </c>
      <c r="R123" s="33">
        <v>0.18</v>
      </c>
      <c r="S123" s="33" t="s">
        <v>267</v>
      </c>
      <c r="T123" s="26">
        <v>0.3</v>
      </c>
      <c r="U123" s="26">
        <v>0.05</v>
      </c>
      <c r="V123" s="26">
        <v>0.3</v>
      </c>
      <c r="X123" s="32">
        <v>19.05</v>
      </c>
      <c r="Y123" s="90">
        <v>19.600000000000001</v>
      </c>
    </row>
    <row r="124" spans="1:25" ht="13.5" thickBot="1">
      <c r="A124" s="39"/>
      <c r="B124" s="39"/>
      <c r="E124" s="39"/>
      <c r="F124" s="39"/>
      <c r="G124" s="39"/>
      <c r="H124" s="39"/>
      <c r="I124" s="39"/>
      <c r="J124" s="39"/>
      <c r="K124" s="39"/>
      <c r="L124" s="33" t="s">
        <v>240</v>
      </c>
      <c r="M124" s="31">
        <v>1.3</v>
      </c>
      <c r="N124" s="31">
        <v>0.44727519013521122</v>
      </c>
      <c r="O124" s="32">
        <v>200</v>
      </c>
      <c r="P124" s="32">
        <v>375</v>
      </c>
      <c r="Q124" s="32">
        <v>625</v>
      </c>
      <c r="R124" s="33">
        <v>0.60765999999999998</v>
      </c>
      <c r="S124" s="33" t="s">
        <v>272</v>
      </c>
      <c r="T124" s="26">
        <v>0.3</v>
      </c>
      <c r="U124" s="26">
        <v>0.15</v>
      </c>
      <c r="V124" s="26">
        <v>0.3</v>
      </c>
      <c r="X124" s="32">
        <v>20.05</v>
      </c>
      <c r="Y124" s="90">
        <v>21.5</v>
      </c>
    </row>
    <row r="125" spans="1:25" ht="13.5" thickBot="1">
      <c r="A125" s="39"/>
      <c r="B125" s="39"/>
      <c r="E125" s="39"/>
      <c r="F125" s="39"/>
      <c r="G125" s="39"/>
      <c r="H125" s="39"/>
      <c r="I125" s="39"/>
      <c r="J125" s="39"/>
      <c r="K125" s="39"/>
      <c r="L125" s="33" t="s">
        <v>241</v>
      </c>
      <c r="M125" s="31">
        <v>1.2</v>
      </c>
      <c r="N125" s="31">
        <v>1.0878100402192215</v>
      </c>
      <c r="O125" s="32">
        <v>9</v>
      </c>
      <c r="P125" s="32">
        <v>268</v>
      </c>
      <c r="Q125" s="32">
        <v>403</v>
      </c>
      <c r="R125" s="33">
        <v>0.26419999999999999</v>
      </c>
      <c r="S125" s="33" t="s">
        <v>267</v>
      </c>
      <c r="T125" s="26">
        <v>0.4</v>
      </c>
      <c r="U125" s="26">
        <v>0.05</v>
      </c>
      <c r="V125" s="26">
        <v>0.4</v>
      </c>
      <c r="X125" s="32">
        <v>25.05</v>
      </c>
      <c r="Y125" s="90">
        <v>23.3</v>
      </c>
    </row>
    <row r="126" spans="1:25" ht="13.5" thickBot="1">
      <c r="A126" s="39"/>
      <c r="B126" s="39"/>
      <c r="E126" s="39"/>
      <c r="F126" s="39"/>
      <c r="G126" s="39"/>
      <c r="H126" s="39"/>
      <c r="I126" s="39"/>
      <c r="J126" s="39"/>
      <c r="K126" s="39"/>
      <c r="L126" s="33" t="s">
        <v>242</v>
      </c>
      <c r="M126" s="31">
        <v>0.7</v>
      </c>
      <c r="N126" s="31">
        <f>N167</f>
        <v>0</v>
      </c>
      <c r="O126" s="32">
        <v>0</v>
      </c>
      <c r="P126" s="32">
        <f>P167</f>
        <v>0</v>
      </c>
      <c r="Q126" s="32">
        <f>Q167</f>
        <v>0</v>
      </c>
      <c r="R126" s="33" t="s">
        <v>302</v>
      </c>
      <c r="S126" s="33" t="s">
        <v>270</v>
      </c>
      <c r="T126" s="26">
        <v>5.6000000000000005</v>
      </c>
      <c r="U126" s="26">
        <v>3</v>
      </c>
      <c r="V126" s="26">
        <v>7</v>
      </c>
      <c r="X126" s="32">
        <v>30.05</v>
      </c>
      <c r="Y126" s="90">
        <v>24.9</v>
      </c>
    </row>
    <row r="127" spans="1:25" ht="13.5" thickBot="1">
      <c r="A127" s="39"/>
      <c r="B127" s="39"/>
      <c r="E127" s="39"/>
      <c r="F127" s="39"/>
      <c r="G127" s="39"/>
      <c r="H127" s="39"/>
      <c r="I127" s="39"/>
      <c r="J127" s="39"/>
      <c r="K127" s="39"/>
      <c r="L127" s="33" t="s">
        <v>243</v>
      </c>
      <c r="M127" s="31">
        <v>1.1000000000000001</v>
      </c>
      <c r="N127" s="31">
        <v>1.0878100402192215</v>
      </c>
      <c r="O127" s="32">
        <v>50</v>
      </c>
      <c r="P127" s="32">
        <v>375</v>
      </c>
      <c r="Q127" s="32">
        <v>625</v>
      </c>
      <c r="R127" s="33">
        <v>0.26419999999999999</v>
      </c>
      <c r="S127" s="33" t="s">
        <v>267</v>
      </c>
      <c r="T127" s="26">
        <v>0.4</v>
      </c>
      <c r="U127" s="26">
        <v>0.05</v>
      </c>
      <c r="V127" s="26">
        <v>0.4</v>
      </c>
      <c r="X127" s="32">
        <v>35.050000000000004</v>
      </c>
      <c r="Y127" s="90">
        <v>26.3</v>
      </c>
    </row>
    <row r="128" spans="1:25" ht="13.5" thickBot="1">
      <c r="A128" s="39"/>
      <c r="B128" s="39"/>
      <c r="E128" s="39"/>
      <c r="F128" s="39"/>
      <c r="G128" s="39"/>
      <c r="H128" s="39"/>
      <c r="I128" s="39"/>
      <c r="J128" s="39"/>
      <c r="K128" s="39"/>
      <c r="L128" s="33" t="s">
        <v>244</v>
      </c>
      <c r="M128" s="31">
        <v>1</v>
      </c>
      <c r="N128" s="31">
        <v>2.4727057307353197</v>
      </c>
      <c r="O128" s="32">
        <v>150</v>
      </c>
      <c r="P128" s="32">
        <v>250</v>
      </c>
      <c r="Q128" s="32">
        <v>206</v>
      </c>
      <c r="R128" s="33">
        <v>1.00396</v>
      </c>
      <c r="S128" s="33" t="s">
        <v>244</v>
      </c>
      <c r="T128" s="26">
        <v>0.3</v>
      </c>
      <c r="U128" s="26">
        <v>0.15</v>
      </c>
      <c r="V128" s="26">
        <v>0.3</v>
      </c>
      <c r="X128" s="32">
        <v>40.050000000000004</v>
      </c>
      <c r="Y128" s="90">
        <v>27.7</v>
      </c>
    </row>
    <row r="129" spans="1:25" ht="13.5" thickBot="1">
      <c r="A129" s="39"/>
      <c r="B129" s="39"/>
      <c r="E129" s="39"/>
      <c r="F129" s="39"/>
      <c r="G129" s="39"/>
      <c r="H129" s="39"/>
      <c r="I129" s="39"/>
      <c r="J129" s="39"/>
      <c r="K129" s="39"/>
      <c r="L129" s="33" t="s">
        <v>245</v>
      </c>
      <c r="M129" s="31">
        <v>0.3</v>
      </c>
      <c r="N129" s="31">
        <v>0</v>
      </c>
      <c r="O129" s="32">
        <v>100</v>
      </c>
      <c r="P129" s="32">
        <v>250</v>
      </c>
      <c r="Q129" s="32">
        <v>200</v>
      </c>
      <c r="R129" s="33">
        <v>0</v>
      </c>
      <c r="S129" s="33" t="s">
        <v>274</v>
      </c>
      <c r="T129" s="26">
        <v>0</v>
      </c>
      <c r="U129" s="26">
        <v>0</v>
      </c>
      <c r="V129" s="26">
        <v>0</v>
      </c>
      <c r="X129" s="32">
        <v>45.050000000000004</v>
      </c>
      <c r="Y129" s="90">
        <v>29.1</v>
      </c>
    </row>
    <row r="130" spans="1:25" ht="13.5" thickBot="1">
      <c r="A130" s="39"/>
      <c r="B130" s="39"/>
      <c r="E130" s="39"/>
      <c r="F130" s="39"/>
      <c r="G130" s="39"/>
      <c r="H130" s="39"/>
      <c r="I130" s="39"/>
      <c r="J130" s="39"/>
      <c r="K130" s="39"/>
      <c r="L130" s="33" t="s">
        <v>263</v>
      </c>
      <c r="M130" s="31">
        <v>1</v>
      </c>
      <c r="N130" s="31">
        <v>1.2598079682597403</v>
      </c>
      <c r="O130" s="32">
        <v>250</v>
      </c>
      <c r="P130" s="32">
        <f t="shared" ref="P130:Q132" si="2">P167</f>
        <v>0</v>
      </c>
      <c r="Q130" s="32">
        <f t="shared" si="2"/>
        <v>0</v>
      </c>
      <c r="R130" s="33">
        <v>20</v>
      </c>
      <c r="S130" s="33" t="s">
        <v>303</v>
      </c>
      <c r="T130" s="26">
        <v>4.375</v>
      </c>
      <c r="U130" s="26">
        <v>3</v>
      </c>
      <c r="V130" s="26">
        <v>3.5</v>
      </c>
      <c r="X130" s="32">
        <v>50.050000000000004</v>
      </c>
      <c r="Y130" s="90">
        <v>30.6</v>
      </c>
    </row>
    <row r="131" spans="1:25" ht="13.5" thickBot="1">
      <c r="A131" s="39"/>
      <c r="B131" s="39"/>
      <c r="E131" s="39"/>
      <c r="F131" s="39"/>
      <c r="G131" s="39"/>
      <c r="H131" s="39"/>
      <c r="I131" s="39"/>
      <c r="J131" s="39"/>
      <c r="K131" s="39"/>
      <c r="L131" s="33" t="s">
        <v>265</v>
      </c>
      <c r="M131" s="31">
        <v>1</v>
      </c>
      <c r="N131" s="31">
        <v>1.2598079682597403</v>
      </c>
      <c r="O131" s="32">
        <v>250</v>
      </c>
      <c r="P131" s="32">
        <f t="shared" si="2"/>
        <v>0</v>
      </c>
      <c r="Q131" s="32">
        <f t="shared" si="2"/>
        <v>0</v>
      </c>
      <c r="R131" s="33">
        <v>10</v>
      </c>
      <c r="S131" s="33" t="s">
        <v>303</v>
      </c>
      <c r="T131" s="26">
        <v>4.375</v>
      </c>
      <c r="U131" s="26">
        <v>3</v>
      </c>
      <c r="V131" s="26">
        <v>3.5</v>
      </c>
      <c r="X131" s="32">
        <v>55.050000000000004</v>
      </c>
      <c r="Y131" s="90">
        <v>32</v>
      </c>
    </row>
    <row r="132" spans="1:25" ht="13.5" thickBot="1">
      <c r="A132" s="39"/>
      <c r="B132" s="39"/>
      <c r="C132" s="39"/>
      <c r="D132" s="39"/>
      <c r="E132" s="39"/>
      <c r="F132" s="39"/>
      <c r="G132" s="39"/>
      <c r="H132" s="39"/>
      <c r="I132" s="39"/>
      <c r="J132" s="39"/>
      <c r="K132" s="39"/>
      <c r="L132" s="33" t="s">
        <v>264</v>
      </c>
      <c r="M132" s="31">
        <v>1</v>
      </c>
      <c r="N132" s="31">
        <v>1.2598079682597403</v>
      </c>
      <c r="O132" s="32">
        <v>250</v>
      </c>
      <c r="P132" s="32">
        <f t="shared" si="2"/>
        <v>0</v>
      </c>
      <c r="Q132" s="32">
        <f t="shared" si="2"/>
        <v>0</v>
      </c>
      <c r="R132" s="33">
        <v>14</v>
      </c>
      <c r="S132" s="33" t="s">
        <v>303</v>
      </c>
      <c r="T132" s="26">
        <v>4.375</v>
      </c>
      <c r="U132" s="26">
        <v>3</v>
      </c>
      <c r="V132" s="26">
        <v>3.5</v>
      </c>
      <c r="X132" s="32">
        <v>60.050000000000004</v>
      </c>
      <c r="Y132" s="90">
        <v>33.5</v>
      </c>
    </row>
    <row r="133" spans="1:25" ht="13.5" thickBot="1">
      <c r="A133" s="39"/>
      <c r="B133" s="39"/>
      <c r="C133" s="39"/>
      <c r="D133" s="39"/>
      <c r="E133" s="39"/>
      <c r="F133" s="39"/>
      <c r="G133" s="39"/>
      <c r="H133" s="39"/>
      <c r="I133" s="39"/>
      <c r="J133" s="39"/>
      <c r="K133" s="39"/>
      <c r="L133" s="33" t="s">
        <v>246</v>
      </c>
      <c r="M133" s="31">
        <v>1.6</v>
      </c>
      <c r="N133" s="31">
        <v>1.0878100402192215</v>
      </c>
      <c r="O133" s="32">
        <v>9</v>
      </c>
      <c r="P133" s="32">
        <v>268</v>
      </c>
      <c r="Q133" s="32">
        <v>403</v>
      </c>
      <c r="R133" s="33">
        <v>0.26419999999999999</v>
      </c>
      <c r="S133" s="33" t="s">
        <v>267</v>
      </c>
      <c r="T133" s="26">
        <v>0.4</v>
      </c>
      <c r="U133" s="26">
        <v>0.05</v>
      </c>
      <c r="V133" s="26">
        <v>0.4</v>
      </c>
      <c r="X133" s="32">
        <v>65.05</v>
      </c>
      <c r="Y133" s="90">
        <v>35</v>
      </c>
    </row>
    <row r="134" spans="1:25" ht="13.5" thickBot="1">
      <c r="A134" s="39"/>
      <c r="B134" s="39"/>
      <c r="C134" s="39"/>
      <c r="D134" s="39"/>
      <c r="E134" s="39"/>
      <c r="F134" s="39"/>
      <c r="G134" s="39"/>
      <c r="H134" s="39"/>
      <c r="I134" s="39"/>
      <c r="J134" s="39"/>
      <c r="K134" s="39"/>
      <c r="L134" s="33" t="s">
        <v>247</v>
      </c>
      <c r="M134" s="31">
        <v>1</v>
      </c>
      <c r="N134" s="31">
        <v>1.9144703100160791</v>
      </c>
      <c r="O134" s="32">
        <v>100</v>
      </c>
      <c r="P134" s="32">
        <v>250</v>
      </c>
      <c r="Q134" s="32">
        <v>206</v>
      </c>
      <c r="R134" s="33">
        <v>1.00396</v>
      </c>
      <c r="S134" s="33" t="s">
        <v>303</v>
      </c>
      <c r="T134" s="26">
        <v>0.4</v>
      </c>
      <c r="U134" s="26">
        <v>0.3</v>
      </c>
      <c r="V134" s="26">
        <v>0.4</v>
      </c>
      <c r="X134" s="32">
        <v>70.05</v>
      </c>
      <c r="Y134" s="90">
        <v>36.5</v>
      </c>
    </row>
    <row r="135" spans="1:25" ht="13.5" thickBot="1">
      <c r="A135" s="39"/>
      <c r="B135" s="39"/>
      <c r="C135" s="39"/>
      <c r="D135" s="39"/>
      <c r="E135" s="39"/>
      <c r="F135" s="39"/>
      <c r="G135" s="39"/>
      <c r="H135" s="39"/>
      <c r="I135" s="39"/>
      <c r="J135" s="39"/>
      <c r="K135" s="39"/>
      <c r="L135" s="33" t="s">
        <v>248</v>
      </c>
      <c r="M135" s="31">
        <v>1.1000000000000001</v>
      </c>
      <c r="N135" s="31">
        <v>1</v>
      </c>
      <c r="O135" s="32">
        <v>100</v>
      </c>
      <c r="P135" s="32">
        <v>375</v>
      </c>
      <c r="Q135" s="32">
        <v>625</v>
      </c>
      <c r="R135" s="33">
        <v>1.00396</v>
      </c>
      <c r="S135" s="33" t="s">
        <v>244</v>
      </c>
      <c r="T135" s="26">
        <v>0.3</v>
      </c>
      <c r="U135" s="26">
        <v>0.15</v>
      </c>
      <c r="V135" s="26">
        <v>0.3</v>
      </c>
      <c r="X135" s="32">
        <v>75.05</v>
      </c>
      <c r="Y135" s="90">
        <v>38</v>
      </c>
    </row>
    <row r="136" spans="1:25" ht="13.5" thickBot="1">
      <c r="A136" s="39"/>
      <c r="B136" s="39"/>
      <c r="C136" s="39"/>
      <c r="D136" s="39"/>
      <c r="E136" s="39"/>
      <c r="F136" s="39"/>
      <c r="G136" s="39"/>
      <c r="H136" s="39"/>
      <c r="I136" s="39"/>
      <c r="J136" s="39"/>
      <c r="K136" s="39"/>
      <c r="L136" s="33" t="s">
        <v>249</v>
      </c>
      <c r="M136" s="31">
        <v>1.3</v>
      </c>
      <c r="N136" s="31">
        <v>0.4123586737477169</v>
      </c>
      <c r="O136" s="32">
        <v>9</v>
      </c>
      <c r="P136" s="32">
        <v>245</v>
      </c>
      <c r="Q136" s="32">
        <v>112</v>
      </c>
      <c r="R136" s="33">
        <v>0.26419999999999999</v>
      </c>
      <c r="S136" s="33" t="s">
        <v>267</v>
      </c>
      <c r="T136" s="26">
        <v>0.4</v>
      </c>
      <c r="U136" s="26">
        <v>0.05</v>
      </c>
      <c r="V136" s="26">
        <v>0.4</v>
      </c>
      <c r="X136" s="32">
        <v>80.05</v>
      </c>
      <c r="Y136" s="90">
        <v>39.5</v>
      </c>
    </row>
    <row r="137" spans="1:25" ht="13.5" thickBot="1">
      <c r="A137" s="39"/>
      <c r="B137" s="39"/>
      <c r="C137" s="39"/>
      <c r="D137" s="39"/>
      <c r="E137" s="39"/>
      <c r="F137" s="39"/>
      <c r="G137" s="39"/>
      <c r="H137" s="39"/>
      <c r="I137" s="39"/>
      <c r="J137" s="39"/>
      <c r="K137" s="39"/>
      <c r="L137" s="33" t="s">
        <v>250</v>
      </c>
      <c r="M137" s="31">
        <v>1.5</v>
      </c>
      <c r="N137" s="31">
        <v>0.85621191253156481</v>
      </c>
      <c r="O137" s="32">
        <v>100</v>
      </c>
      <c r="P137" s="32">
        <f>P216</f>
        <v>0</v>
      </c>
      <c r="Q137" s="32">
        <f>Q216</f>
        <v>0</v>
      </c>
      <c r="R137" s="33">
        <v>0.60765999999999998</v>
      </c>
      <c r="S137" s="33" t="s">
        <v>271</v>
      </c>
      <c r="T137" s="26">
        <v>0.3</v>
      </c>
      <c r="U137" s="26">
        <v>0.1</v>
      </c>
      <c r="V137" s="26">
        <v>0.3</v>
      </c>
      <c r="X137" s="32">
        <v>85.05</v>
      </c>
      <c r="Y137" s="90">
        <v>41</v>
      </c>
    </row>
    <row r="138" spans="1:25" ht="13.5" thickBot="1">
      <c r="A138" s="39"/>
      <c r="B138" s="39"/>
      <c r="C138" s="39"/>
      <c r="D138" s="39"/>
      <c r="E138" s="39"/>
      <c r="F138" s="39"/>
      <c r="G138" s="39"/>
      <c r="H138" s="39"/>
      <c r="I138" s="39"/>
      <c r="J138" s="39"/>
      <c r="K138" s="39"/>
      <c r="L138" s="33" t="s">
        <v>251</v>
      </c>
      <c r="M138" s="31">
        <v>1.1000000000000001</v>
      </c>
      <c r="N138" s="31">
        <v>1.0878100402192215</v>
      </c>
      <c r="O138" s="32">
        <v>9</v>
      </c>
      <c r="P138" s="32">
        <v>245</v>
      </c>
      <c r="Q138" s="32">
        <v>105</v>
      </c>
      <c r="R138" s="33">
        <v>0.26419999999999999</v>
      </c>
      <c r="S138" s="33" t="s">
        <v>267</v>
      </c>
      <c r="T138" s="26">
        <v>0.4</v>
      </c>
      <c r="U138" s="26">
        <v>0.05</v>
      </c>
      <c r="V138" s="26">
        <v>0.4</v>
      </c>
      <c r="X138" s="32">
        <v>90.05</v>
      </c>
      <c r="Y138" s="90">
        <v>43.5</v>
      </c>
    </row>
    <row r="139" spans="1:25" ht="13.5" thickBot="1">
      <c r="A139" s="39"/>
      <c r="B139" s="39"/>
      <c r="C139" s="39"/>
      <c r="D139" s="39"/>
      <c r="E139" s="39"/>
      <c r="F139" s="39"/>
      <c r="G139" s="39"/>
      <c r="H139" s="39"/>
      <c r="I139" s="39"/>
      <c r="J139" s="39"/>
      <c r="K139" s="39"/>
      <c r="L139" s="33" t="s">
        <v>252</v>
      </c>
      <c r="M139" s="31">
        <v>1.1000000000000001</v>
      </c>
      <c r="N139" s="31">
        <v>1.0878100402192215</v>
      </c>
      <c r="O139" s="32">
        <v>9</v>
      </c>
      <c r="P139" s="32">
        <v>245</v>
      </c>
      <c r="Q139" s="32">
        <v>105</v>
      </c>
      <c r="R139" s="33">
        <v>0.26419999999999999</v>
      </c>
      <c r="S139" s="33" t="s">
        <v>267</v>
      </c>
      <c r="T139" s="26">
        <v>0.3</v>
      </c>
      <c r="U139" s="26">
        <v>0.05</v>
      </c>
      <c r="V139" s="26">
        <v>0.3</v>
      </c>
      <c r="X139" s="32">
        <v>100.05</v>
      </c>
      <c r="Y139" s="90">
        <v>45.8</v>
      </c>
    </row>
    <row r="140" spans="1:25" ht="13.5" thickBot="1">
      <c r="A140" s="39"/>
      <c r="B140" s="39"/>
      <c r="C140" s="39"/>
      <c r="D140" s="39"/>
      <c r="E140" s="39"/>
      <c r="F140" s="39"/>
      <c r="G140" s="39"/>
      <c r="H140" s="39"/>
      <c r="I140" s="39"/>
      <c r="J140" s="39"/>
      <c r="K140" s="39"/>
      <c r="L140" s="33" t="s">
        <v>253</v>
      </c>
      <c r="M140" s="31">
        <v>1</v>
      </c>
      <c r="N140" s="31">
        <v>1.8631659983238325</v>
      </c>
      <c r="O140" s="32">
        <v>60</v>
      </c>
      <c r="P140" s="32">
        <v>250</v>
      </c>
      <c r="Q140" s="32">
        <v>200</v>
      </c>
      <c r="R140" s="33">
        <v>1.00396</v>
      </c>
      <c r="S140" s="33" t="s">
        <v>267</v>
      </c>
      <c r="T140" s="26">
        <v>0.3</v>
      </c>
      <c r="U140" s="26">
        <v>0.05</v>
      </c>
      <c r="V140" s="26">
        <v>0.3</v>
      </c>
      <c r="X140" s="32">
        <v>110.05</v>
      </c>
      <c r="Y140" s="90">
        <v>48</v>
      </c>
    </row>
    <row r="141" spans="1:25" ht="13.5" thickBot="1">
      <c r="A141" s="39"/>
      <c r="B141" s="39"/>
      <c r="C141" s="39"/>
      <c r="D141" s="39"/>
      <c r="E141" s="39"/>
      <c r="F141" s="39"/>
      <c r="G141" s="39"/>
      <c r="H141" s="39"/>
      <c r="I141" s="39"/>
      <c r="J141" s="39"/>
      <c r="K141" s="39"/>
      <c r="L141" s="33" t="s">
        <v>254</v>
      </c>
      <c r="M141" s="31">
        <v>0.8</v>
      </c>
      <c r="N141" s="31">
        <v>0.44727519013521122</v>
      </c>
      <c r="O141" s="32">
        <v>333</v>
      </c>
      <c r="P141" s="32">
        <v>375</v>
      </c>
      <c r="Q141" s="32">
        <v>625</v>
      </c>
      <c r="R141" s="33">
        <v>0.60765999999999998</v>
      </c>
      <c r="S141" s="33" t="s">
        <v>254</v>
      </c>
      <c r="T141" s="26">
        <v>0.3</v>
      </c>
      <c r="U141" s="26">
        <v>0.15</v>
      </c>
      <c r="V141" s="26">
        <v>0.3</v>
      </c>
      <c r="X141" s="32">
        <v>120.05</v>
      </c>
      <c r="Y141" s="90">
        <v>50.3</v>
      </c>
    </row>
    <row r="142" spans="1:25" ht="13.5" thickBot="1">
      <c r="A142" s="39"/>
      <c r="B142" s="39"/>
      <c r="C142" s="39"/>
      <c r="D142" s="39"/>
      <c r="E142" s="39"/>
      <c r="F142" s="39"/>
      <c r="G142" s="39"/>
      <c r="H142" s="39"/>
      <c r="I142" s="39"/>
      <c r="J142" s="39"/>
      <c r="K142" s="39"/>
      <c r="L142" s="33" t="s">
        <v>255</v>
      </c>
      <c r="M142" s="31">
        <v>1.4</v>
      </c>
      <c r="N142" s="31">
        <v>0.44727519013521122</v>
      </c>
      <c r="O142" s="32">
        <v>200</v>
      </c>
      <c r="P142" s="32">
        <v>375</v>
      </c>
      <c r="Q142" s="32">
        <v>625</v>
      </c>
      <c r="R142" s="33">
        <v>0.60765999999999998</v>
      </c>
      <c r="S142" s="33" t="s">
        <v>272</v>
      </c>
      <c r="T142" s="26">
        <v>0.3</v>
      </c>
      <c r="U142" s="26">
        <v>0.15</v>
      </c>
      <c r="V142" s="26">
        <v>0.3</v>
      </c>
      <c r="X142" s="32">
        <v>130.04999999999998</v>
      </c>
      <c r="Y142" s="90">
        <v>52.5</v>
      </c>
    </row>
    <row r="143" spans="1:25" ht="13.5" thickBot="1">
      <c r="X143" s="32">
        <v>140.04999999999998</v>
      </c>
      <c r="Y143" s="90">
        <v>54.8</v>
      </c>
    </row>
    <row r="144" spans="1:25" ht="13.5" thickBot="1">
      <c r="X144" s="32">
        <v>150.04999999999998</v>
      </c>
      <c r="Y144" s="90">
        <v>57</v>
      </c>
    </row>
    <row r="145" spans="24:25" ht="13.5" thickBot="1">
      <c r="X145" s="32">
        <v>160.04999999999998</v>
      </c>
      <c r="Y145" s="90">
        <v>59</v>
      </c>
    </row>
    <row r="146" spans="24:25" ht="13.5" thickBot="1">
      <c r="X146" s="32">
        <v>170.04999999999998</v>
      </c>
      <c r="Y146" s="90">
        <v>61</v>
      </c>
    </row>
    <row r="147" spans="24:25" ht="13.5" thickBot="1">
      <c r="X147" s="32">
        <v>180.04999999999998</v>
      </c>
      <c r="Y147" s="90">
        <v>63</v>
      </c>
    </row>
    <row r="148" spans="24:25" ht="13.5" thickBot="1">
      <c r="X148" s="32">
        <v>190.04999999999998</v>
      </c>
      <c r="Y148" s="90">
        <v>65</v>
      </c>
    </row>
    <row r="149" spans="24:25" ht="13.5" thickBot="1">
      <c r="X149" s="32">
        <v>200.04999999999998</v>
      </c>
      <c r="Y149" s="90">
        <v>70</v>
      </c>
    </row>
    <row r="150" spans="24:25" ht="13.5" thickBot="1">
      <c r="X150" s="32">
        <v>225.04999999999998</v>
      </c>
      <c r="Y150" s="90">
        <v>75</v>
      </c>
    </row>
    <row r="151" spans="24:25" ht="13.5" thickBot="1">
      <c r="X151" s="32">
        <v>250.04999999999998</v>
      </c>
      <c r="Y151" s="90">
        <v>80</v>
      </c>
    </row>
    <row r="152" spans="24:25" ht="13.5" thickBot="1">
      <c r="X152" s="32">
        <v>275.05</v>
      </c>
      <c r="Y152" s="90">
        <v>85</v>
      </c>
    </row>
    <row r="153" spans="24:25" ht="13.5" thickBot="1">
      <c r="X153" s="32">
        <v>300.05</v>
      </c>
      <c r="Y153" s="90">
        <v>95</v>
      </c>
    </row>
    <row r="154" spans="24:25" ht="13.5" thickBot="1">
      <c r="X154" s="32">
        <v>350.05</v>
      </c>
      <c r="Y154" s="90">
        <v>105</v>
      </c>
    </row>
    <row r="155" spans="24:25" ht="13.5" thickBot="1">
      <c r="X155" s="32">
        <v>400.05</v>
      </c>
      <c r="Y155" s="90">
        <v>115</v>
      </c>
    </row>
    <row r="156" spans="24:25" ht="13.5" thickBot="1">
      <c r="X156" s="32">
        <v>450.05</v>
      </c>
      <c r="Y156" s="90">
        <v>124</v>
      </c>
    </row>
    <row r="157" spans="24:25" ht="13.5" thickBot="1">
      <c r="X157" s="32">
        <v>500.05</v>
      </c>
      <c r="Y157" s="90">
        <v>134</v>
      </c>
    </row>
    <row r="158" spans="24:25" ht="13.5" thickBot="1">
      <c r="X158" s="32">
        <v>550.05000000000007</v>
      </c>
      <c r="Y158" s="90">
        <v>143</v>
      </c>
    </row>
    <row r="159" spans="24:25" ht="13.5" thickBot="1">
      <c r="X159" s="32">
        <v>600.05000000000007</v>
      </c>
      <c r="Y159" s="90">
        <v>152</v>
      </c>
    </row>
    <row r="160" spans="24:25" ht="13.5" thickBot="1">
      <c r="X160" s="32">
        <v>650.05000000000007</v>
      </c>
      <c r="Y160" s="90">
        <v>161</v>
      </c>
    </row>
    <row r="161" spans="24:25" ht="13.5" thickBot="1">
      <c r="X161" s="32">
        <v>700.05000000000007</v>
      </c>
      <c r="Y161" s="90">
        <v>170</v>
      </c>
    </row>
    <row r="162" spans="24:25" ht="13.5" thickBot="1">
      <c r="X162" s="32">
        <v>750.05000000000007</v>
      </c>
      <c r="Y162" s="90">
        <v>178</v>
      </c>
    </row>
    <row r="163" spans="24:25" ht="13.5" thickBot="1">
      <c r="X163" s="32">
        <v>800.05000000000007</v>
      </c>
      <c r="Y163" s="90">
        <v>185</v>
      </c>
    </row>
    <row r="164" spans="24:25" ht="13.5" thickBot="1">
      <c r="X164" s="32">
        <v>850.05000000000007</v>
      </c>
      <c r="Y164" s="90">
        <v>193</v>
      </c>
    </row>
    <row r="165" spans="24:25" ht="13.5" thickBot="1">
      <c r="X165" s="32">
        <v>900.05000000000007</v>
      </c>
      <c r="Y165" s="90">
        <v>208</v>
      </c>
    </row>
    <row r="166" spans="24:25" ht="13.5" thickBot="1">
      <c r="X166" s="32">
        <v>1000.0500000000001</v>
      </c>
      <c r="Y166" s="90">
        <v>221</v>
      </c>
    </row>
    <row r="167" spans="24:25" ht="13.5" thickBot="1">
      <c r="X167" s="32">
        <v>1100.05</v>
      </c>
      <c r="Y167" s="90">
        <v>233</v>
      </c>
    </row>
    <row r="168" spans="24:25" ht="13.5" thickBot="1">
      <c r="X168" s="32">
        <v>1200.05</v>
      </c>
      <c r="Y168" s="90">
        <v>239</v>
      </c>
    </row>
    <row r="169" spans="24:25" ht="13.5" thickBot="1">
      <c r="X169" s="32">
        <v>1250.05</v>
      </c>
      <c r="Y169" s="90">
        <v>251</v>
      </c>
    </row>
    <row r="170" spans="24:25" ht="13.5" thickBot="1">
      <c r="X170" s="32">
        <v>1300.05</v>
      </c>
      <c r="Y170" s="90">
        <v>263</v>
      </c>
    </row>
    <row r="171" spans="24:25" ht="13.5" thickBot="1">
      <c r="X171" s="32">
        <v>1400.05</v>
      </c>
      <c r="Y171" s="90">
        <v>269</v>
      </c>
    </row>
    <row r="172" spans="24:25" ht="13.5" thickBot="1">
      <c r="X172" s="32">
        <v>1500.05</v>
      </c>
      <c r="Y172" s="90">
        <v>281</v>
      </c>
    </row>
    <row r="173" spans="24:25" ht="13.5" thickBot="1">
      <c r="X173" s="32">
        <v>1600.05</v>
      </c>
      <c r="Y173" s="90">
        <v>292</v>
      </c>
    </row>
    <row r="174" spans="24:25" ht="13.5" thickBot="1">
      <c r="X174" s="32">
        <v>1700.05</v>
      </c>
      <c r="Y174" s="90">
        <v>297</v>
      </c>
    </row>
    <row r="175" spans="24:25" ht="13.5" thickBot="1">
      <c r="X175" s="32">
        <v>1750.05</v>
      </c>
      <c r="Y175" s="90">
        <v>309</v>
      </c>
    </row>
    <row r="176" spans="24:25" ht="13.5" thickBot="1">
      <c r="X176" s="32">
        <v>1800.05</v>
      </c>
      <c r="Y176" s="90">
        <v>320</v>
      </c>
    </row>
    <row r="177" spans="24:25" ht="13.5" thickBot="1">
      <c r="X177" s="32">
        <v>1900.05</v>
      </c>
      <c r="Y177" s="90">
        <v>325</v>
      </c>
    </row>
    <row r="178" spans="24:25" ht="13.5" thickBot="1">
      <c r="X178" s="32">
        <v>2000.05</v>
      </c>
      <c r="Y178" s="90">
        <v>336</v>
      </c>
    </row>
    <row r="179" spans="24:25" ht="13.5" thickBot="1">
      <c r="X179" s="32">
        <v>2100.0499999999997</v>
      </c>
      <c r="Y179" s="90">
        <v>347</v>
      </c>
    </row>
    <row r="180" spans="24:25" ht="13.5" thickBot="1">
      <c r="X180" s="32">
        <v>2200.0499999999997</v>
      </c>
      <c r="Y180" s="90">
        <v>358</v>
      </c>
    </row>
    <row r="181" spans="24:25" ht="13.5" thickBot="1">
      <c r="X181" s="32">
        <v>2300.0499999999997</v>
      </c>
      <c r="Y181" s="90">
        <v>369</v>
      </c>
    </row>
    <row r="182" spans="24:25" ht="13.5" thickBot="1">
      <c r="X182" s="32">
        <v>2400.0499999999997</v>
      </c>
      <c r="Y182" s="90">
        <v>380</v>
      </c>
    </row>
    <row r="183" spans="24:25" ht="13.5" thickBot="1">
      <c r="X183" s="32">
        <v>2500.0499999999997</v>
      </c>
      <c r="Y183" s="90">
        <v>391</v>
      </c>
    </row>
    <row r="184" spans="24:25" ht="13.5" thickBot="1">
      <c r="X184" s="32">
        <v>2600.0499999999997</v>
      </c>
      <c r="Y184" s="90">
        <v>402</v>
      </c>
    </row>
    <row r="185" spans="24:25" ht="13.5" thickBot="1">
      <c r="X185" s="32">
        <v>2700.0499999999997</v>
      </c>
      <c r="Y185" s="90">
        <v>413</v>
      </c>
    </row>
    <row r="186" spans="24:25" ht="13.5" thickBot="1">
      <c r="X186" s="32">
        <v>2800.0499999999997</v>
      </c>
      <c r="Y186" s="90">
        <v>423</v>
      </c>
    </row>
    <row r="187" spans="24:25" ht="13.5" thickBot="1">
      <c r="X187" s="32">
        <v>2900.0499999999997</v>
      </c>
      <c r="Y187" s="90">
        <v>433</v>
      </c>
    </row>
    <row r="188" spans="24:25" ht="13.5" thickBot="1">
      <c r="X188" s="32">
        <v>3000.0499999999997</v>
      </c>
      <c r="Y188" s="90">
        <v>444</v>
      </c>
    </row>
    <row r="189" spans="24:25" ht="13.5" thickBot="1">
      <c r="X189" s="32">
        <v>3100.0499999999997</v>
      </c>
      <c r="Y189" s="90">
        <v>455</v>
      </c>
    </row>
    <row r="190" spans="24:25" ht="13.5" thickBot="1">
      <c r="X190" s="32">
        <v>3200.0499999999997</v>
      </c>
      <c r="Y190" s="90">
        <v>465</v>
      </c>
    </row>
    <row r="191" spans="24:25" ht="13.5" thickBot="1">
      <c r="X191" s="32">
        <v>3300.0499999999997</v>
      </c>
      <c r="Y191" s="90">
        <v>475</v>
      </c>
    </row>
    <row r="192" spans="24:25" ht="13.5" thickBot="1">
      <c r="X192" s="32">
        <v>3400.0499999999997</v>
      </c>
      <c r="Y192" s="90">
        <v>485</v>
      </c>
    </row>
    <row r="193" spans="24:25" ht="13.5" thickBot="1">
      <c r="X193" s="32">
        <v>3500.0499999999997</v>
      </c>
      <c r="Y193" s="90">
        <v>495</v>
      </c>
    </row>
    <row r="194" spans="24:25" ht="13.5" thickBot="1">
      <c r="X194" s="32">
        <v>3600.0499999999997</v>
      </c>
      <c r="Y194" s="90">
        <v>505</v>
      </c>
    </row>
    <row r="195" spans="24:25" ht="13.5" thickBot="1">
      <c r="X195" s="32">
        <v>3700.0499999999997</v>
      </c>
      <c r="Y195" s="90">
        <v>515</v>
      </c>
    </row>
    <row r="196" spans="24:25" ht="13.5" thickBot="1">
      <c r="X196" s="32">
        <v>3800.0499999999997</v>
      </c>
      <c r="Y196" s="90">
        <v>525</v>
      </c>
    </row>
    <row r="197" spans="24:25" ht="13.5" thickBot="1">
      <c r="X197" s="32">
        <v>3900.0499999999997</v>
      </c>
      <c r="Y197" s="90">
        <v>535</v>
      </c>
    </row>
    <row r="198" spans="24:25" ht="13.5" thickBot="1">
      <c r="X198" s="32">
        <v>4000.0499999999997</v>
      </c>
      <c r="Y198" s="90">
        <v>541</v>
      </c>
    </row>
    <row r="199" spans="24:25" ht="13.5" thickBot="1">
      <c r="X199" s="32">
        <v>4100.05</v>
      </c>
      <c r="Y199" s="90">
        <v>547</v>
      </c>
    </row>
    <row r="200" spans="24:25" ht="13.5" thickBot="1">
      <c r="X200" s="32">
        <v>4200.05</v>
      </c>
      <c r="Y200" s="90">
        <v>553</v>
      </c>
    </row>
    <row r="201" spans="24:25" ht="13.5" thickBot="1">
      <c r="X201" s="32">
        <v>4300.05</v>
      </c>
      <c r="Y201" s="90">
        <v>559</v>
      </c>
    </row>
    <row r="202" spans="24:25" ht="13.5" thickBot="1">
      <c r="X202" s="32">
        <v>4400.05</v>
      </c>
      <c r="Y202" s="90">
        <v>565</v>
      </c>
    </row>
    <row r="203" spans="24:25" ht="13.5" thickBot="1">
      <c r="X203" s="32">
        <v>4500.05</v>
      </c>
      <c r="Y203" s="90">
        <v>571</v>
      </c>
    </row>
    <row r="204" spans="24:25" ht="13.5" thickBot="1">
      <c r="X204" s="32">
        <v>4600.05</v>
      </c>
      <c r="Y204" s="90">
        <v>577</v>
      </c>
    </row>
    <row r="205" spans="24:25" ht="13.5" thickBot="1">
      <c r="X205" s="32">
        <v>4700.05</v>
      </c>
      <c r="Y205" s="90">
        <v>583</v>
      </c>
    </row>
    <row r="206" spans="24:25" ht="13.5" thickBot="1">
      <c r="X206" s="32">
        <v>4800.05</v>
      </c>
      <c r="Y206" s="90">
        <v>588</v>
      </c>
    </row>
    <row r="207" spans="24:25" ht="13.5" thickBot="1">
      <c r="X207" s="32">
        <v>4900.05</v>
      </c>
      <c r="Y207" s="90">
        <v>593</v>
      </c>
    </row>
    <row r="208" spans="24:25" ht="13.5" thickBot="1">
      <c r="X208" s="32">
        <v>5000.05</v>
      </c>
      <c r="Y208" s="90">
        <v>598</v>
      </c>
    </row>
  </sheetData>
  <sheetProtection password="C5C5" sheet="1" objects="1" scenarios="1"/>
  <mergeCells count="15">
    <mergeCell ref="BJ2:BM2"/>
    <mergeCell ref="AT2:AW2"/>
    <mergeCell ref="AX2:BA2"/>
    <mergeCell ref="BB2:BE2"/>
    <mergeCell ref="BF2:BI2"/>
    <mergeCell ref="AL2:AO2"/>
    <mergeCell ref="AP2:AS2"/>
    <mergeCell ref="D1:J1"/>
    <mergeCell ref="D2:E2"/>
    <mergeCell ref="H2:J2"/>
    <mergeCell ref="V2:Y2"/>
    <mergeCell ref="Z2:AC2"/>
    <mergeCell ref="AH2:AK2"/>
    <mergeCell ref="F2:G2"/>
    <mergeCell ref="AD2:AG2"/>
  </mergeCells>
  <conditionalFormatting sqref="S133 S135:S142 R127:R142 S123:S129 S99:S102 R104:R121 S104:S113 R123:R125 S117:S121 R122:S122 M104:O142 W102 M2:O102 T104:U142">
    <cfRule type="cellIs" dxfId="3" priority="144" stopIfTrue="1" operator="equal">
      <formula>"N/A"</formula>
    </cfRule>
  </conditionalFormatting>
  <conditionalFormatting sqref="X104:Y208 P2:Q102 N3:N102 W7:W102 O3:O17 O20:O102 N104:Q142 T104:U142">
    <cfRule type="cellIs" dxfId="2" priority="141" stopIfTrue="1" operator="equal">
      <formula>"N/A"</formula>
    </cfRule>
  </conditionalFormatting>
  <conditionalFormatting sqref="V104:V142">
    <cfRule type="cellIs" dxfId="1" priority="4" stopIfTrue="1" operator="equal">
      <formula>"N/A"</formula>
    </cfRule>
  </conditionalFormatting>
  <conditionalFormatting sqref="V104:V142">
    <cfRule type="cellIs" dxfId="0" priority="3" stopIfTrue="1" operator="equal">
      <formula>"N/A"</formula>
    </cfRule>
  </conditionalFormatting>
  <dataValidations count="1">
    <dataValidation type="list" allowBlank="1" showInputMessage="1" showErrorMessage="1" sqref="Z4 V4 AX4 BF4 BB4 AT4 AP4 AL4 AH4 AD4 BJ4">
      <formula1>BOOLEAN</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1:U273"/>
  <sheetViews>
    <sheetView workbookViewId="0">
      <pane ySplit="3" topLeftCell="A4" activePane="bottomLeft" state="frozen"/>
      <selection pane="bottomLeft" activeCell="A4" sqref="A4"/>
    </sheetView>
  </sheetViews>
  <sheetFormatPr baseColWidth="10" defaultRowHeight="15"/>
  <cols>
    <col min="1" max="1" width="9.140625" customWidth="1"/>
    <col min="2" max="2" width="7.42578125" bestFit="1" customWidth="1"/>
    <col min="3" max="3" width="12.85546875" bestFit="1" customWidth="1"/>
    <col min="4" max="18" width="10" customWidth="1"/>
    <col min="19" max="256" width="9.140625" customWidth="1"/>
  </cols>
  <sheetData>
    <row r="1" spans="2:18" ht="15.75" thickTop="1">
      <c r="C1" s="143" t="s">
        <v>176</v>
      </c>
      <c r="D1" s="140" t="s">
        <v>203</v>
      </c>
      <c r="E1" s="140"/>
      <c r="F1" s="140"/>
      <c r="G1" s="140" t="s">
        <v>209</v>
      </c>
      <c r="H1" s="140"/>
      <c r="I1" s="140"/>
      <c r="J1" s="140" t="s">
        <v>207</v>
      </c>
      <c r="K1" s="140"/>
      <c r="L1" s="140"/>
      <c r="M1" s="140" t="s">
        <v>210</v>
      </c>
      <c r="N1" s="140"/>
      <c r="O1" s="140"/>
      <c r="P1" s="140" t="s">
        <v>211</v>
      </c>
      <c r="Q1" s="140"/>
      <c r="R1" s="146"/>
    </row>
    <row r="2" spans="2:18">
      <c r="C2" s="144"/>
      <c r="D2" s="141" t="s">
        <v>175</v>
      </c>
      <c r="E2" s="141"/>
      <c r="F2" s="141"/>
      <c r="G2" s="141" t="s">
        <v>175</v>
      </c>
      <c r="H2" s="141"/>
      <c r="I2" s="141"/>
      <c r="J2" s="141" t="s">
        <v>208</v>
      </c>
      <c r="K2" s="141"/>
      <c r="L2" s="141"/>
      <c r="M2" s="141" t="s">
        <v>175</v>
      </c>
      <c r="N2" s="141"/>
      <c r="O2" s="141"/>
      <c r="P2" s="141" t="s">
        <v>175</v>
      </c>
      <c r="Q2" s="141"/>
      <c r="R2" s="147"/>
    </row>
    <row r="3" spans="2:18" ht="15.75" thickBot="1">
      <c r="C3" s="145"/>
      <c r="D3" s="11" t="s">
        <v>204</v>
      </c>
      <c r="E3" s="11" t="s">
        <v>205</v>
      </c>
      <c r="F3" s="11" t="s">
        <v>206</v>
      </c>
      <c r="G3" s="11" t="s">
        <v>204</v>
      </c>
      <c r="H3" s="11" t="s">
        <v>205</v>
      </c>
      <c r="I3" s="11" t="s">
        <v>206</v>
      </c>
      <c r="J3" s="11" t="s">
        <v>204</v>
      </c>
      <c r="K3" s="11" t="s">
        <v>205</v>
      </c>
      <c r="L3" s="11" t="s">
        <v>206</v>
      </c>
      <c r="M3" s="11" t="s">
        <v>204</v>
      </c>
      <c r="N3" s="11" t="s">
        <v>205</v>
      </c>
      <c r="O3" s="11" t="s">
        <v>206</v>
      </c>
      <c r="P3" s="11" t="s">
        <v>204</v>
      </c>
      <c r="Q3" s="11" t="s">
        <v>205</v>
      </c>
      <c r="R3" s="12" t="s">
        <v>206</v>
      </c>
    </row>
    <row r="4" spans="2:18" ht="16.5" thickTop="1" thickBot="1">
      <c r="B4" s="142" t="s">
        <v>212</v>
      </c>
      <c r="C4" s="2" t="s">
        <v>177</v>
      </c>
      <c r="D4" s="3">
        <v>0</v>
      </c>
      <c r="E4" s="3">
        <v>0</v>
      </c>
      <c r="F4" s="3">
        <v>0</v>
      </c>
      <c r="G4" s="3">
        <v>5</v>
      </c>
      <c r="H4" s="3">
        <v>5</v>
      </c>
      <c r="I4" s="3">
        <v>5</v>
      </c>
      <c r="J4" s="3" t="s">
        <v>178</v>
      </c>
      <c r="K4" s="3" t="s">
        <v>178</v>
      </c>
      <c r="L4" s="3" t="s">
        <v>178</v>
      </c>
      <c r="M4" s="3">
        <v>0</v>
      </c>
      <c r="N4" s="3">
        <v>0</v>
      </c>
      <c r="O4" s="3">
        <v>0</v>
      </c>
      <c r="P4" s="3">
        <v>0</v>
      </c>
      <c r="Q4" s="3">
        <v>0</v>
      </c>
      <c r="R4" s="4">
        <v>0</v>
      </c>
    </row>
    <row r="5" spans="2:18" ht="16.5" thickTop="1" thickBot="1">
      <c r="B5" s="142"/>
      <c r="C5" s="5" t="s">
        <v>179</v>
      </c>
      <c r="D5" s="6">
        <v>0</v>
      </c>
      <c r="E5" s="6">
        <v>0</v>
      </c>
      <c r="F5" s="6">
        <v>0</v>
      </c>
      <c r="G5" s="6">
        <v>5</v>
      </c>
      <c r="H5" s="6">
        <v>5</v>
      </c>
      <c r="I5" s="6">
        <v>5</v>
      </c>
      <c r="J5" s="6" t="s">
        <v>178</v>
      </c>
      <c r="K5" s="6" t="s">
        <v>178</v>
      </c>
      <c r="L5" s="6" t="s">
        <v>178</v>
      </c>
      <c r="M5" s="6">
        <v>0</v>
      </c>
      <c r="N5" s="6">
        <v>0</v>
      </c>
      <c r="O5" s="6">
        <v>0</v>
      </c>
      <c r="P5" s="6">
        <v>0</v>
      </c>
      <c r="Q5" s="6">
        <v>0</v>
      </c>
      <c r="R5" s="7">
        <v>0</v>
      </c>
    </row>
    <row r="6" spans="2:18" ht="16.5" thickTop="1" thickBot="1">
      <c r="B6" s="142"/>
      <c r="C6" s="5" t="s">
        <v>180</v>
      </c>
      <c r="D6" s="6">
        <v>0</v>
      </c>
      <c r="E6" s="6">
        <v>0</v>
      </c>
      <c r="F6" s="6">
        <v>0</v>
      </c>
      <c r="G6" s="6">
        <v>5</v>
      </c>
      <c r="H6" s="6">
        <v>5</v>
      </c>
      <c r="I6" s="6">
        <v>5</v>
      </c>
      <c r="J6" s="6" t="s">
        <v>178</v>
      </c>
      <c r="K6" s="6" t="s">
        <v>178</v>
      </c>
      <c r="L6" s="6" t="s">
        <v>178</v>
      </c>
      <c r="M6" s="6">
        <v>0</v>
      </c>
      <c r="N6" s="6">
        <v>0</v>
      </c>
      <c r="O6" s="6">
        <v>0</v>
      </c>
      <c r="P6" s="6">
        <v>0</v>
      </c>
      <c r="Q6" s="6">
        <v>0</v>
      </c>
      <c r="R6" s="7">
        <v>0</v>
      </c>
    </row>
    <row r="7" spans="2:18" ht="16.5" thickTop="1" thickBot="1">
      <c r="B7" s="142"/>
      <c r="C7" s="5" t="s">
        <v>181</v>
      </c>
      <c r="D7" s="6">
        <v>0</v>
      </c>
      <c r="E7" s="6">
        <v>0</v>
      </c>
      <c r="F7" s="6">
        <v>0</v>
      </c>
      <c r="G7" s="6">
        <v>5</v>
      </c>
      <c r="H7" s="6">
        <v>5</v>
      </c>
      <c r="I7" s="6">
        <v>5</v>
      </c>
      <c r="J7" s="6" t="s">
        <v>178</v>
      </c>
      <c r="K7" s="6" t="s">
        <v>178</v>
      </c>
      <c r="L7" s="6" t="s">
        <v>178</v>
      </c>
      <c r="M7" s="6">
        <v>0</v>
      </c>
      <c r="N7" s="6">
        <v>0</v>
      </c>
      <c r="O7" s="6">
        <v>0</v>
      </c>
      <c r="P7" s="6">
        <v>0</v>
      </c>
      <c r="Q7" s="6">
        <v>0</v>
      </c>
      <c r="R7" s="7">
        <v>0</v>
      </c>
    </row>
    <row r="8" spans="2:18" ht="16.5" thickTop="1" thickBot="1">
      <c r="B8" s="142"/>
      <c r="C8" s="5" t="s">
        <v>182</v>
      </c>
      <c r="D8" s="6">
        <v>0</v>
      </c>
      <c r="E8" s="6">
        <v>0</v>
      </c>
      <c r="F8" s="6">
        <v>0</v>
      </c>
      <c r="G8" s="6">
        <v>5</v>
      </c>
      <c r="H8" s="6">
        <v>5</v>
      </c>
      <c r="I8" s="6">
        <v>5</v>
      </c>
      <c r="J8" s="6" t="s">
        <v>178</v>
      </c>
      <c r="K8" s="6" t="s">
        <v>178</v>
      </c>
      <c r="L8" s="6" t="s">
        <v>178</v>
      </c>
      <c r="M8" s="6">
        <v>0</v>
      </c>
      <c r="N8" s="6">
        <v>0</v>
      </c>
      <c r="O8" s="6">
        <v>0</v>
      </c>
      <c r="P8" s="6">
        <v>0</v>
      </c>
      <c r="Q8" s="6">
        <v>0</v>
      </c>
      <c r="R8" s="7">
        <v>0</v>
      </c>
    </row>
    <row r="9" spans="2:18" ht="16.5" thickTop="1" thickBot="1">
      <c r="B9" s="142"/>
      <c r="C9" s="5" t="s">
        <v>183</v>
      </c>
      <c r="D9" s="6">
        <v>0</v>
      </c>
      <c r="E9" s="6">
        <v>0</v>
      </c>
      <c r="F9" s="6">
        <v>0</v>
      </c>
      <c r="G9" s="6">
        <v>5</v>
      </c>
      <c r="H9" s="6">
        <v>5</v>
      </c>
      <c r="I9" s="6">
        <v>5</v>
      </c>
      <c r="J9" s="6" t="s">
        <v>184</v>
      </c>
      <c r="K9" s="6" t="s">
        <v>178</v>
      </c>
      <c r="L9" s="6" t="s">
        <v>178</v>
      </c>
      <c r="M9" s="6">
        <v>0</v>
      </c>
      <c r="N9" s="6">
        <v>0</v>
      </c>
      <c r="O9" s="6">
        <v>0</v>
      </c>
      <c r="P9" s="6">
        <v>0</v>
      </c>
      <c r="Q9" s="6">
        <v>0</v>
      </c>
      <c r="R9" s="7">
        <v>0</v>
      </c>
    </row>
    <row r="10" spans="2:18" ht="16.5" thickTop="1" thickBot="1">
      <c r="B10" s="142"/>
      <c r="C10" s="5" t="s">
        <v>185</v>
      </c>
      <c r="D10" s="6">
        <v>0</v>
      </c>
      <c r="E10" s="6">
        <v>0</v>
      </c>
      <c r="F10" s="6">
        <v>0</v>
      </c>
      <c r="G10" s="6">
        <v>40</v>
      </c>
      <c r="H10" s="6">
        <v>5</v>
      </c>
      <c r="I10" s="6">
        <v>5</v>
      </c>
      <c r="J10" s="6" t="s">
        <v>184</v>
      </c>
      <c r="K10" s="6" t="s">
        <v>184</v>
      </c>
      <c r="L10" s="6" t="s">
        <v>184</v>
      </c>
      <c r="M10" s="6">
        <v>0</v>
      </c>
      <c r="N10" s="6">
        <v>0</v>
      </c>
      <c r="O10" s="6">
        <v>0</v>
      </c>
      <c r="P10" s="6">
        <v>0</v>
      </c>
      <c r="Q10" s="6">
        <v>0</v>
      </c>
      <c r="R10" s="7">
        <v>0</v>
      </c>
    </row>
    <row r="11" spans="2:18" ht="16.5" thickTop="1" thickBot="1">
      <c r="B11" s="142"/>
      <c r="C11" s="5" t="s">
        <v>186</v>
      </c>
      <c r="D11" s="6">
        <v>0</v>
      </c>
      <c r="E11" s="6">
        <v>0</v>
      </c>
      <c r="F11" s="6">
        <v>0</v>
      </c>
      <c r="G11" s="6">
        <v>40</v>
      </c>
      <c r="H11" s="6">
        <v>30</v>
      </c>
      <c r="I11" s="6">
        <v>30</v>
      </c>
      <c r="J11" s="6" t="s">
        <v>184</v>
      </c>
      <c r="K11" s="6" t="s">
        <v>184</v>
      </c>
      <c r="L11" s="6" t="s">
        <v>184</v>
      </c>
      <c r="M11" s="6">
        <v>0</v>
      </c>
      <c r="N11" s="6">
        <v>0</v>
      </c>
      <c r="O11" s="6">
        <v>0</v>
      </c>
      <c r="P11" s="6">
        <v>0</v>
      </c>
      <c r="Q11" s="6">
        <v>0</v>
      </c>
      <c r="R11" s="7">
        <v>0</v>
      </c>
    </row>
    <row r="12" spans="2:18" ht="16.5" thickTop="1" thickBot="1">
      <c r="B12" s="142"/>
      <c r="C12" s="5" t="s">
        <v>187</v>
      </c>
      <c r="D12" s="6">
        <v>20</v>
      </c>
      <c r="E12" s="6">
        <v>20</v>
      </c>
      <c r="F12" s="6">
        <v>10</v>
      </c>
      <c r="G12" s="6">
        <v>40</v>
      </c>
      <c r="H12" s="6">
        <v>30</v>
      </c>
      <c r="I12" s="6">
        <v>30</v>
      </c>
      <c r="J12" s="6" t="s">
        <v>184</v>
      </c>
      <c r="K12" s="6" t="s">
        <v>184</v>
      </c>
      <c r="L12" s="6" t="s">
        <v>184</v>
      </c>
      <c r="M12" s="6">
        <v>0</v>
      </c>
      <c r="N12" s="6">
        <v>0</v>
      </c>
      <c r="O12" s="6">
        <v>0</v>
      </c>
      <c r="P12" s="6">
        <v>0</v>
      </c>
      <c r="Q12" s="6">
        <v>0</v>
      </c>
      <c r="R12" s="7">
        <v>0</v>
      </c>
    </row>
    <row r="13" spans="2:18" ht="16.5" thickTop="1" thickBot="1">
      <c r="B13" s="142"/>
      <c r="C13" s="5" t="s">
        <v>188</v>
      </c>
      <c r="D13" s="6">
        <v>20</v>
      </c>
      <c r="E13" s="6">
        <v>20</v>
      </c>
      <c r="F13" s="6">
        <v>10</v>
      </c>
      <c r="G13" s="6">
        <v>75</v>
      </c>
      <c r="H13" s="6">
        <v>50</v>
      </c>
      <c r="I13" s="6">
        <v>30</v>
      </c>
      <c r="J13" s="6" t="s">
        <v>184</v>
      </c>
      <c r="K13" s="6" t="s">
        <v>184</v>
      </c>
      <c r="L13" s="6" t="s">
        <v>184</v>
      </c>
      <c r="M13" s="6">
        <v>5</v>
      </c>
      <c r="N13" s="6">
        <v>5</v>
      </c>
      <c r="O13" s="6">
        <v>5</v>
      </c>
      <c r="P13" s="6">
        <v>0</v>
      </c>
      <c r="Q13" s="6">
        <v>0</v>
      </c>
      <c r="R13" s="7">
        <v>0</v>
      </c>
    </row>
    <row r="14" spans="2:18" ht="16.5" thickTop="1" thickBot="1">
      <c r="B14" s="142"/>
      <c r="C14" s="5" t="s">
        <v>189</v>
      </c>
      <c r="D14" s="6">
        <v>20</v>
      </c>
      <c r="E14" s="6">
        <v>20</v>
      </c>
      <c r="F14" s="6">
        <v>10</v>
      </c>
      <c r="G14" s="6">
        <v>75</v>
      </c>
      <c r="H14" s="6">
        <v>50</v>
      </c>
      <c r="I14" s="6">
        <v>30</v>
      </c>
      <c r="J14" s="6" t="s">
        <v>184</v>
      </c>
      <c r="K14" s="6" t="s">
        <v>184</v>
      </c>
      <c r="L14" s="6" t="s">
        <v>184</v>
      </c>
      <c r="M14" s="6">
        <v>5</v>
      </c>
      <c r="N14" s="6">
        <v>5</v>
      </c>
      <c r="O14" s="6">
        <v>5</v>
      </c>
      <c r="P14" s="6">
        <v>0</v>
      </c>
      <c r="Q14" s="6">
        <v>0</v>
      </c>
      <c r="R14" s="7">
        <v>0</v>
      </c>
    </row>
    <row r="15" spans="2:18" ht="16.5" thickTop="1" thickBot="1">
      <c r="B15" s="142"/>
      <c r="C15" s="5" t="s">
        <v>190</v>
      </c>
      <c r="D15" s="6">
        <v>80</v>
      </c>
      <c r="E15" s="6">
        <v>60</v>
      </c>
      <c r="F15" s="6">
        <v>10</v>
      </c>
      <c r="G15" s="6">
        <v>75</v>
      </c>
      <c r="H15" s="6">
        <v>50</v>
      </c>
      <c r="I15" s="6">
        <v>30</v>
      </c>
      <c r="J15" s="6" t="s">
        <v>184</v>
      </c>
      <c r="K15" s="6" t="s">
        <v>184</v>
      </c>
      <c r="L15" s="6" t="s">
        <v>184</v>
      </c>
      <c r="M15" s="6">
        <v>35</v>
      </c>
      <c r="N15" s="6">
        <v>20</v>
      </c>
      <c r="O15" s="6">
        <v>10</v>
      </c>
      <c r="P15" s="6">
        <v>0</v>
      </c>
      <c r="Q15" s="6">
        <v>0</v>
      </c>
      <c r="R15" s="7">
        <v>0</v>
      </c>
    </row>
    <row r="16" spans="2:18" ht="16.5" thickTop="1" thickBot="1">
      <c r="B16" s="142"/>
      <c r="C16" s="5" t="s">
        <v>191</v>
      </c>
      <c r="D16" s="6">
        <v>80</v>
      </c>
      <c r="E16" s="6">
        <v>60</v>
      </c>
      <c r="F16" s="6">
        <v>10</v>
      </c>
      <c r="G16" s="6">
        <v>75</v>
      </c>
      <c r="H16" s="6">
        <v>50</v>
      </c>
      <c r="I16" s="6">
        <v>65</v>
      </c>
      <c r="J16" s="6" t="s">
        <v>184</v>
      </c>
      <c r="K16" s="6" t="s">
        <v>184</v>
      </c>
      <c r="L16" s="6" t="s">
        <v>184</v>
      </c>
      <c r="M16" s="6">
        <v>5</v>
      </c>
      <c r="N16" s="6">
        <v>0</v>
      </c>
      <c r="O16" s="6">
        <v>0</v>
      </c>
      <c r="P16" s="6">
        <v>0</v>
      </c>
      <c r="Q16" s="6">
        <v>0</v>
      </c>
      <c r="R16" s="7">
        <v>0</v>
      </c>
    </row>
    <row r="17" spans="2:18" ht="16.5" thickTop="1" thickBot="1">
      <c r="B17" s="142"/>
      <c r="C17" s="5" t="s">
        <v>192</v>
      </c>
      <c r="D17" s="6">
        <v>80</v>
      </c>
      <c r="E17" s="6">
        <v>60</v>
      </c>
      <c r="F17" s="6">
        <v>70</v>
      </c>
      <c r="G17" s="6">
        <v>75</v>
      </c>
      <c r="H17" s="6">
        <v>50</v>
      </c>
      <c r="I17" s="6">
        <v>65</v>
      </c>
      <c r="J17" s="6" t="s">
        <v>184</v>
      </c>
      <c r="K17" s="6" t="s">
        <v>184</v>
      </c>
      <c r="L17" s="6" t="s">
        <v>184</v>
      </c>
      <c r="M17" s="6">
        <v>5</v>
      </c>
      <c r="N17" s="6">
        <v>0</v>
      </c>
      <c r="O17" s="6">
        <v>0</v>
      </c>
      <c r="P17" s="6">
        <v>0</v>
      </c>
      <c r="Q17" s="6">
        <v>0</v>
      </c>
      <c r="R17" s="7">
        <v>0</v>
      </c>
    </row>
    <row r="18" spans="2:18" ht="16.5" thickTop="1" thickBot="1">
      <c r="B18" s="142"/>
      <c r="C18" s="5" t="s">
        <v>193</v>
      </c>
      <c r="D18" s="6">
        <v>80</v>
      </c>
      <c r="E18" s="6">
        <v>60</v>
      </c>
      <c r="F18" s="6">
        <v>70</v>
      </c>
      <c r="G18" s="6">
        <v>75</v>
      </c>
      <c r="H18" s="6">
        <v>50</v>
      </c>
      <c r="I18" s="6">
        <v>65</v>
      </c>
      <c r="J18" s="6" t="s">
        <v>184</v>
      </c>
      <c r="K18" s="6" t="s">
        <v>184</v>
      </c>
      <c r="L18" s="6" t="s">
        <v>184</v>
      </c>
      <c r="M18" s="6">
        <v>5</v>
      </c>
      <c r="N18" s="6">
        <v>0</v>
      </c>
      <c r="O18" s="6">
        <v>0</v>
      </c>
      <c r="P18" s="6">
        <v>0</v>
      </c>
      <c r="Q18" s="6">
        <v>0</v>
      </c>
      <c r="R18" s="7">
        <v>0</v>
      </c>
    </row>
    <row r="19" spans="2:18" ht="16.5" thickTop="1" thickBot="1">
      <c r="B19" s="142"/>
      <c r="C19" s="5" t="s">
        <v>194</v>
      </c>
      <c r="D19" s="6">
        <v>80</v>
      </c>
      <c r="E19" s="6">
        <v>60</v>
      </c>
      <c r="F19" s="6">
        <v>70</v>
      </c>
      <c r="G19" s="6">
        <v>75</v>
      </c>
      <c r="H19" s="6">
        <v>50</v>
      </c>
      <c r="I19" s="6">
        <v>65</v>
      </c>
      <c r="J19" s="6" t="s">
        <v>184</v>
      </c>
      <c r="K19" s="6" t="s">
        <v>184</v>
      </c>
      <c r="L19" s="6" t="s">
        <v>184</v>
      </c>
      <c r="M19" s="6">
        <v>5</v>
      </c>
      <c r="N19" s="6">
        <v>0</v>
      </c>
      <c r="O19" s="6">
        <v>0</v>
      </c>
      <c r="P19" s="6">
        <v>0</v>
      </c>
      <c r="Q19" s="6">
        <v>0</v>
      </c>
      <c r="R19" s="7">
        <v>0</v>
      </c>
    </row>
    <row r="20" spans="2:18" ht="16.5" thickTop="1" thickBot="1">
      <c r="B20" s="142"/>
      <c r="C20" s="5" t="s">
        <v>195</v>
      </c>
      <c r="D20" s="6">
        <v>80</v>
      </c>
      <c r="E20" s="6">
        <v>60</v>
      </c>
      <c r="F20" s="6">
        <v>70</v>
      </c>
      <c r="G20" s="6">
        <v>75</v>
      </c>
      <c r="H20" s="6">
        <v>50</v>
      </c>
      <c r="I20" s="6">
        <v>65</v>
      </c>
      <c r="J20" s="6" t="s">
        <v>184</v>
      </c>
      <c r="K20" s="6" t="s">
        <v>184</v>
      </c>
      <c r="L20" s="6" t="s">
        <v>184</v>
      </c>
      <c r="M20" s="6">
        <v>5</v>
      </c>
      <c r="N20" s="6">
        <v>0</v>
      </c>
      <c r="O20" s="6">
        <v>0</v>
      </c>
      <c r="P20" s="6">
        <v>0</v>
      </c>
      <c r="Q20" s="6">
        <v>0</v>
      </c>
      <c r="R20" s="7">
        <v>0</v>
      </c>
    </row>
    <row r="21" spans="2:18" ht="16.5" thickTop="1" thickBot="1">
      <c r="B21" s="142"/>
      <c r="C21" s="5" t="s">
        <v>196</v>
      </c>
      <c r="D21" s="6">
        <v>80</v>
      </c>
      <c r="E21" s="6">
        <v>60</v>
      </c>
      <c r="F21" s="6">
        <v>70</v>
      </c>
      <c r="G21" s="6">
        <v>75</v>
      </c>
      <c r="H21" s="6">
        <v>50</v>
      </c>
      <c r="I21" s="6">
        <v>65</v>
      </c>
      <c r="J21" s="6" t="s">
        <v>184</v>
      </c>
      <c r="K21" s="6" t="s">
        <v>184</v>
      </c>
      <c r="L21" s="6" t="s">
        <v>184</v>
      </c>
      <c r="M21" s="6">
        <v>0</v>
      </c>
      <c r="N21" s="6">
        <v>0</v>
      </c>
      <c r="O21" s="6">
        <v>0</v>
      </c>
      <c r="P21" s="6">
        <v>0</v>
      </c>
      <c r="Q21" s="6">
        <v>0</v>
      </c>
      <c r="R21" s="7">
        <v>0</v>
      </c>
    </row>
    <row r="22" spans="2:18" ht="16.5" thickTop="1" thickBot="1">
      <c r="B22" s="142"/>
      <c r="C22" s="5" t="s">
        <v>197</v>
      </c>
      <c r="D22" s="6">
        <v>20</v>
      </c>
      <c r="E22" s="6">
        <v>60</v>
      </c>
      <c r="F22" s="6">
        <v>70</v>
      </c>
      <c r="G22" s="6">
        <v>75</v>
      </c>
      <c r="H22" s="6">
        <v>50</v>
      </c>
      <c r="I22" s="6">
        <v>65</v>
      </c>
      <c r="J22" s="6" t="s">
        <v>184</v>
      </c>
      <c r="K22" s="6" t="s">
        <v>184</v>
      </c>
      <c r="L22" s="6" t="s">
        <v>184</v>
      </c>
      <c r="M22" s="6">
        <v>0</v>
      </c>
      <c r="N22" s="6">
        <v>0</v>
      </c>
      <c r="O22" s="6">
        <v>0</v>
      </c>
      <c r="P22" s="6">
        <v>0</v>
      </c>
      <c r="Q22" s="6">
        <v>0</v>
      </c>
      <c r="R22" s="7">
        <v>0</v>
      </c>
    </row>
    <row r="23" spans="2:18" ht="16.5" thickTop="1" thickBot="1">
      <c r="B23" s="142"/>
      <c r="C23" s="5" t="s">
        <v>198</v>
      </c>
      <c r="D23" s="6">
        <v>20</v>
      </c>
      <c r="E23" s="6">
        <v>60</v>
      </c>
      <c r="F23" s="6">
        <v>70</v>
      </c>
      <c r="G23" s="6">
        <v>75</v>
      </c>
      <c r="H23" s="6">
        <v>50</v>
      </c>
      <c r="I23" s="6">
        <v>65</v>
      </c>
      <c r="J23" s="6" t="s">
        <v>184</v>
      </c>
      <c r="K23" s="6" t="s">
        <v>184</v>
      </c>
      <c r="L23" s="6" t="s">
        <v>184</v>
      </c>
      <c r="M23" s="6">
        <v>0</v>
      </c>
      <c r="N23" s="6">
        <v>65</v>
      </c>
      <c r="O23" s="6">
        <v>65</v>
      </c>
      <c r="P23" s="6">
        <v>0</v>
      </c>
      <c r="Q23" s="6">
        <v>0</v>
      </c>
      <c r="R23" s="7">
        <v>0</v>
      </c>
    </row>
    <row r="24" spans="2:18" ht="16.5" thickTop="1" thickBot="1">
      <c r="B24" s="142"/>
      <c r="C24" s="5" t="s">
        <v>199</v>
      </c>
      <c r="D24" s="6">
        <v>20</v>
      </c>
      <c r="E24" s="6">
        <v>60</v>
      </c>
      <c r="F24" s="6">
        <v>70</v>
      </c>
      <c r="G24" s="6">
        <v>75</v>
      </c>
      <c r="H24" s="6">
        <v>50</v>
      </c>
      <c r="I24" s="6">
        <v>65</v>
      </c>
      <c r="J24" s="6" t="s">
        <v>184</v>
      </c>
      <c r="K24" s="6" t="s">
        <v>184</v>
      </c>
      <c r="L24" s="6" t="s">
        <v>184</v>
      </c>
      <c r="M24" s="6">
        <v>0</v>
      </c>
      <c r="N24" s="6">
        <v>30</v>
      </c>
      <c r="O24" s="6">
        <v>30</v>
      </c>
      <c r="P24" s="6">
        <v>0</v>
      </c>
      <c r="Q24" s="6">
        <v>0</v>
      </c>
      <c r="R24" s="7">
        <v>0</v>
      </c>
    </row>
    <row r="25" spans="2:18" ht="16.5" thickTop="1" thickBot="1">
      <c r="B25" s="142"/>
      <c r="C25" s="5" t="s">
        <v>200</v>
      </c>
      <c r="D25" s="6">
        <v>20</v>
      </c>
      <c r="E25" s="6">
        <v>80</v>
      </c>
      <c r="F25" s="6">
        <v>70</v>
      </c>
      <c r="G25" s="6">
        <v>75</v>
      </c>
      <c r="H25" s="6">
        <v>50</v>
      </c>
      <c r="I25" s="6">
        <v>65</v>
      </c>
      <c r="J25" s="6" t="s">
        <v>184</v>
      </c>
      <c r="K25" s="6" t="s">
        <v>184</v>
      </c>
      <c r="L25" s="6" t="s">
        <v>184</v>
      </c>
      <c r="M25" s="6">
        <v>0</v>
      </c>
      <c r="N25" s="6">
        <v>0</v>
      </c>
      <c r="O25" s="6">
        <v>0</v>
      </c>
      <c r="P25" s="6">
        <v>0</v>
      </c>
      <c r="Q25" s="6">
        <v>0</v>
      </c>
      <c r="R25" s="7">
        <v>0</v>
      </c>
    </row>
    <row r="26" spans="2:18" ht="16.5" thickTop="1" thickBot="1">
      <c r="B26" s="142"/>
      <c r="C26" s="5" t="s">
        <v>201</v>
      </c>
      <c r="D26" s="6">
        <v>10</v>
      </c>
      <c r="E26" s="6">
        <v>10</v>
      </c>
      <c r="F26" s="6">
        <v>20</v>
      </c>
      <c r="G26" s="6">
        <v>25</v>
      </c>
      <c r="H26" s="6">
        <v>50</v>
      </c>
      <c r="I26" s="6">
        <v>5</v>
      </c>
      <c r="J26" s="6" t="s">
        <v>184</v>
      </c>
      <c r="K26" s="6" t="s">
        <v>184</v>
      </c>
      <c r="L26" s="6" t="s">
        <v>184</v>
      </c>
      <c r="M26" s="6">
        <v>0</v>
      </c>
      <c r="N26" s="6">
        <v>0</v>
      </c>
      <c r="O26" s="6">
        <v>0</v>
      </c>
      <c r="P26" s="6">
        <v>0</v>
      </c>
      <c r="Q26" s="6">
        <v>0</v>
      </c>
      <c r="R26" s="7">
        <v>0</v>
      </c>
    </row>
    <row r="27" spans="2:18" ht="16.5" thickTop="1" thickBot="1">
      <c r="B27" s="142"/>
      <c r="C27" s="8" t="s">
        <v>202</v>
      </c>
      <c r="D27" s="9">
        <v>0</v>
      </c>
      <c r="E27" s="9">
        <v>0</v>
      </c>
      <c r="F27" s="9">
        <v>0</v>
      </c>
      <c r="G27" s="9">
        <v>5</v>
      </c>
      <c r="H27" s="9">
        <v>5</v>
      </c>
      <c r="I27" s="9">
        <v>5</v>
      </c>
      <c r="J27" s="9" t="s">
        <v>178</v>
      </c>
      <c r="K27" s="9" t="s">
        <v>178</v>
      </c>
      <c r="L27" s="9" t="s">
        <v>178</v>
      </c>
      <c r="M27" s="9">
        <v>0</v>
      </c>
      <c r="N27" s="9">
        <v>0</v>
      </c>
      <c r="O27" s="9">
        <v>0</v>
      </c>
      <c r="P27" s="9">
        <v>0</v>
      </c>
      <c r="Q27" s="9">
        <v>0</v>
      </c>
      <c r="R27" s="10">
        <v>0</v>
      </c>
    </row>
    <row r="28" spans="2:18" ht="16.5" thickTop="1" thickBot="1">
      <c r="B28" s="142" t="s">
        <v>213</v>
      </c>
      <c r="C28" s="2" t="s">
        <v>177</v>
      </c>
      <c r="D28" s="3">
        <v>0</v>
      </c>
      <c r="E28" s="3">
        <v>0</v>
      </c>
      <c r="F28" s="3">
        <v>0</v>
      </c>
      <c r="G28" s="3">
        <v>10</v>
      </c>
      <c r="H28" s="3">
        <v>10</v>
      </c>
      <c r="I28" s="3">
        <v>5</v>
      </c>
      <c r="J28" s="3" t="s">
        <v>184</v>
      </c>
      <c r="K28" s="3" t="s">
        <v>184</v>
      </c>
      <c r="L28" s="3" t="s">
        <v>184</v>
      </c>
      <c r="M28" s="3">
        <v>1</v>
      </c>
      <c r="N28" s="3">
        <v>1</v>
      </c>
      <c r="O28" s="3">
        <v>1</v>
      </c>
      <c r="P28" s="3">
        <v>0</v>
      </c>
      <c r="Q28" s="3">
        <v>0</v>
      </c>
      <c r="R28" s="4">
        <v>0</v>
      </c>
    </row>
    <row r="29" spans="2:18" ht="16.5" thickTop="1" thickBot="1">
      <c r="B29" s="142"/>
      <c r="C29" s="5" t="s">
        <v>179</v>
      </c>
      <c r="D29" s="6">
        <v>0</v>
      </c>
      <c r="E29" s="6">
        <v>0</v>
      </c>
      <c r="F29" s="6">
        <v>0</v>
      </c>
      <c r="G29" s="6">
        <v>10</v>
      </c>
      <c r="H29" s="6">
        <v>10</v>
      </c>
      <c r="I29" s="6">
        <v>5</v>
      </c>
      <c r="J29" s="6" t="s">
        <v>184</v>
      </c>
      <c r="K29" s="6" t="s">
        <v>184</v>
      </c>
      <c r="L29" s="6" t="s">
        <v>184</v>
      </c>
      <c r="M29" s="6">
        <v>1</v>
      </c>
      <c r="N29" s="6">
        <v>1</v>
      </c>
      <c r="O29" s="6">
        <v>1</v>
      </c>
      <c r="P29" s="6">
        <v>0</v>
      </c>
      <c r="Q29" s="6">
        <v>0</v>
      </c>
      <c r="R29" s="7">
        <v>0</v>
      </c>
    </row>
    <row r="30" spans="2:18" ht="16.5" thickTop="1" thickBot="1">
      <c r="B30" s="142"/>
      <c r="C30" s="5" t="s">
        <v>180</v>
      </c>
      <c r="D30" s="6">
        <v>0</v>
      </c>
      <c r="E30" s="6">
        <v>0</v>
      </c>
      <c r="F30" s="6">
        <v>0</v>
      </c>
      <c r="G30" s="6">
        <v>10</v>
      </c>
      <c r="H30" s="6">
        <v>10</v>
      </c>
      <c r="I30" s="6">
        <v>5</v>
      </c>
      <c r="J30" s="6" t="s">
        <v>184</v>
      </c>
      <c r="K30" s="6" t="s">
        <v>184</v>
      </c>
      <c r="L30" s="6" t="s">
        <v>184</v>
      </c>
      <c r="M30" s="6">
        <v>1</v>
      </c>
      <c r="N30" s="6">
        <v>1</v>
      </c>
      <c r="O30" s="6">
        <v>1</v>
      </c>
      <c r="P30" s="6">
        <v>0</v>
      </c>
      <c r="Q30" s="6">
        <v>0</v>
      </c>
      <c r="R30" s="7">
        <v>0</v>
      </c>
    </row>
    <row r="31" spans="2:18" ht="16.5" thickTop="1" thickBot="1">
      <c r="B31" s="142"/>
      <c r="C31" s="5" t="s">
        <v>181</v>
      </c>
      <c r="D31" s="6">
        <v>0</v>
      </c>
      <c r="E31" s="6">
        <v>0</v>
      </c>
      <c r="F31" s="6">
        <v>0</v>
      </c>
      <c r="G31" s="6">
        <v>10</v>
      </c>
      <c r="H31" s="6">
        <v>10</v>
      </c>
      <c r="I31" s="6">
        <v>5</v>
      </c>
      <c r="J31" s="6" t="s">
        <v>184</v>
      </c>
      <c r="K31" s="6" t="s">
        <v>184</v>
      </c>
      <c r="L31" s="6" t="s">
        <v>184</v>
      </c>
      <c r="M31" s="6">
        <v>1</v>
      </c>
      <c r="N31" s="6">
        <v>1</v>
      </c>
      <c r="O31" s="6">
        <v>1</v>
      </c>
      <c r="P31" s="6">
        <v>0</v>
      </c>
      <c r="Q31" s="6">
        <v>0</v>
      </c>
      <c r="R31" s="7">
        <v>0</v>
      </c>
    </row>
    <row r="32" spans="2:18" ht="16.5" thickTop="1" thickBot="1">
      <c r="B32" s="142"/>
      <c r="C32" s="5" t="s">
        <v>182</v>
      </c>
      <c r="D32" s="6">
        <v>0</v>
      </c>
      <c r="E32" s="6">
        <v>0</v>
      </c>
      <c r="F32" s="6">
        <v>0</v>
      </c>
      <c r="G32" s="6">
        <v>10</v>
      </c>
      <c r="H32" s="6">
        <v>10</v>
      </c>
      <c r="I32" s="6">
        <v>5</v>
      </c>
      <c r="J32" s="6" t="s">
        <v>184</v>
      </c>
      <c r="K32" s="6" t="s">
        <v>184</v>
      </c>
      <c r="L32" s="6" t="s">
        <v>184</v>
      </c>
      <c r="M32" s="6">
        <v>1</v>
      </c>
      <c r="N32" s="6">
        <v>1</v>
      </c>
      <c r="O32" s="6">
        <v>1</v>
      </c>
      <c r="P32" s="6">
        <v>0</v>
      </c>
      <c r="Q32" s="6">
        <v>0</v>
      </c>
      <c r="R32" s="7">
        <v>0</v>
      </c>
    </row>
    <row r="33" spans="2:18" ht="16.5" thickTop="1" thickBot="1">
      <c r="B33" s="142"/>
      <c r="C33" s="5" t="s">
        <v>183</v>
      </c>
      <c r="D33" s="6">
        <v>0</v>
      </c>
      <c r="E33" s="6">
        <v>0</v>
      </c>
      <c r="F33" s="6">
        <v>0</v>
      </c>
      <c r="G33" s="6">
        <v>10</v>
      </c>
      <c r="H33" s="6">
        <v>10</v>
      </c>
      <c r="I33" s="6">
        <v>5</v>
      </c>
      <c r="J33" s="6" t="s">
        <v>184</v>
      </c>
      <c r="K33" s="6" t="s">
        <v>184</v>
      </c>
      <c r="L33" s="6" t="s">
        <v>184</v>
      </c>
      <c r="M33" s="6">
        <v>1</v>
      </c>
      <c r="N33" s="6">
        <v>1</v>
      </c>
      <c r="O33" s="6">
        <v>1</v>
      </c>
      <c r="P33" s="6">
        <v>0</v>
      </c>
      <c r="Q33" s="6">
        <v>0</v>
      </c>
      <c r="R33" s="7">
        <v>0</v>
      </c>
    </row>
    <row r="34" spans="2:18" ht="16.5" thickTop="1" thickBot="1">
      <c r="B34" s="142"/>
      <c r="C34" s="5" t="s">
        <v>185</v>
      </c>
      <c r="D34" s="6">
        <v>0</v>
      </c>
      <c r="E34" s="6">
        <v>0</v>
      </c>
      <c r="F34" s="6">
        <v>0</v>
      </c>
      <c r="G34" s="6">
        <v>10</v>
      </c>
      <c r="H34" s="6">
        <v>10</v>
      </c>
      <c r="I34" s="6">
        <v>5</v>
      </c>
      <c r="J34" s="6" t="s">
        <v>184</v>
      </c>
      <c r="K34" s="6" t="s">
        <v>184</v>
      </c>
      <c r="L34" s="6" t="s">
        <v>184</v>
      </c>
      <c r="M34" s="6">
        <v>1</v>
      </c>
      <c r="N34" s="6">
        <v>1</v>
      </c>
      <c r="O34" s="6">
        <v>1</v>
      </c>
      <c r="P34" s="6">
        <v>0</v>
      </c>
      <c r="Q34" s="6">
        <v>0</v>
      </c>
      <c r="R34" s="7">
        <v>0</v>
      </c>
    </row>
    <row r="35" spans="2:18" ht="16.5" thickTop="1" thickBot="1">
      <c r="B35" s="142"/>
      <c r="C35" s="5" t="s">
        <v>186</v>
      </c>
      <c r="D35" s="6">
        <v>10</v>
      </c>
      <c r="E35" s="6">
        <v>10</v>
      </c>
      <c r="F35" s="6">
        <v>0</v>
      </c>
      <c r="G35" s="6">
        <v>50</v>
      </c>
      <c r="H35" s="6">
        <v>20</v>
      </c>
      <c r="I35" s="6">
        <v>5</v>
      </c>
      <c r="J35" s="6" t="s">
        <v>184</v>
      </c>
      <c r="K35" s="6" t="s">
        <v>184</v>
      </c>
      <c r="L35" s="6" t="s">
        <v>184</v>
      </c>
      <c r="M35" s="6">
        <v>17</v>
      </c>
      <c r="N35" s="6">
        <v>1</v>
      </c>
      <c r="O35" s="6">
        <v>1</v>
      </c>
      <c r="P35" s="6">
        <v>2</v>
      </c>
      <c r="Q35" s="6">
        <v>2</v>
      </c>
      <c r="R35" s="7">
        <v>0</v>
      </c>
    </row>
    <row r="36" spans="2:18" ht="16.5" thickTop="1" thickBot="1">
      <c r="B36" s="142"/>
      <c r="C36" s="5" t="s">
        <v>187</v>
      </c>
      <c r="D36" s="6">
        <v>50</v>
      </c>
      <c r="E36" s="6">
        <v>30</v>
      </c>
      <c r="F36" s="6">
        <v>5</v>
      </c>
      <c r="G36" s="6">
        <v>90</v>
      </c>
      <c r="H36" s="6">
        <v>40</v>
      </c>
      <c r="I36" s="6">
        <v>10</v>
      </c>
      <c r="J36" s="6" t="s">
        <v>184</v>
      </c>
      <c r="K36" s="6" t="s">
        <v>184</v>
      </c>
      <c r="L36" s="6" t="s">
        <v>184</v>
      </c>
      <c r="M36" s="6">
        <v>58</v>
      </c>
      <c r="N36" s="6">
        <v>20</v>
      </c>
      <c r="O36" s="6">
        <v>1</v>
      </c>
      <c r="P36" s="6">
        <v>75</v>
      </c>
      <c r="Q36" s="6">
        <v>46</v>
      </c>
      <c r="R36" s="7">
        <v>2</v>
      </c>
    </row>
    <row r="37" spans="2:18" ht="16.5" thickTop="1" thickBot="1">
      <c r="B37" s="142"/>
      <c r="C37" s="5" t="s">
        <v>188</v>
      </c>
      <c r="D37" s="6">
        <v>80</v>
      </c>
      <c r="E37" s="6">
        <v>40</v>
      </c>
      <c r="F37" s="6">
        <v>5</v>
      </c>
      <c r="G37" s="6">
        <v>90</v>
      </c>
      <c r="H37" s="6">
        <v>40</v>
      </c>
      <c r="I37" s="6">
        <v>10</v>
      </c>
      <c r="J37" s="6" t="s">
        <v>184</v>
      </c>
      <c r="K37" s="6" t="s">
        <v>184</v>
      </c>
      <c r="L37" s="6" t="s">
        <v>184</v>
      </c>
      <c r="M37" s="6">
        <v>66</v>
      </c>
      <c r="N37" s="6">
        <v>28</v>
      </c>
      <c r="O37" s="6">
        <v>1</v>
      </c>
      <c r="P37" s="6">
        <v>100</v>
      </c>
      <c r="Q37" s="6">
        <v>70</v>
      </c>
      <c r="R37" s="7">
        <v>2</v>
      </c>
    </row>
    <row r="38" spans="2:18" ht="16.5" thickTop="1" thickBot="1">
      <c r="B38" s="142"/>
      <c r="C38" s="5" t="s">
        <v>189</v>
      </c>
      <c r="D38" s="6">
        <v>80</v>
      </c>
      <c r="E38" s="6">
        <v>40</v>
      </c>
      <c r="F38" s="6">
        <v>5</v>
      </c>
      <c r="G38" s="6">
        <v>90</v>
      </c>
      <c r="H38" s="6">
        <v>40</v>
      </c>
      <c r="I38" s="6">
        <v>10</v>
      </c>
      <c r="J38" s="6" t="s">
        <v>184</v>
      </c>
      <c r="K38" s="6" t="s">
        <v>184</v>
      </c>
      <c r="L38" s="6" t="s">
        <v>184</v>
      </c>
      <c r="M38" s="6">
        <v>78</v>
      </c>
      <c r="N38" s="6">
        <v>30</v>
      </c>
      <c r="O38" s="6">
        <v>1</v>
      </c>
      <c r="P38" s="6">
        <v>100</v>
      </c>
      <c r="Q38" s="6">
        <v>70</v>
      </c>
      <c r="R38" s="7">
        <v>2</v>
      </c>
    </row>
    <row r="39" spans="2:18" ht="16.5" thickTop="1" thickBot="1">
      <c r="B39" s="142"/>
      <c r="C39" s="5" t="s">
        <v>190</v>
      </c>
      <c r="D39" s="6">
        <v>80</v>
      </c>
      <c r="E39" s="6">
        <v>40</v>
      </c>
      <c r="F39" s="6">
        <v>5</v>
      </c>
      <c r="G39" s="6">
        <v>90</v>
      </c>
      <c r="H39" s="6">
        <v>40</v>
      </c>
      <c r="I39" s="6">
        <v>10</v>
      </c>
      <c r="J39" s="6" t="s">
        <v>184</v>
      </c>
      <c r="K39" s="6" t="s">
        <v>184</v>
      </c>
      <c r="L39" s="6" t="s">
        <v>184</v>
      </c>
      <c r="M39" s="6">
        <v>82</v>
      </c>
      <c r="N39" s="6">
        <v>30</v>
      </c>
      <c r="O39" s="6">
        <v>1</v>
      </c>
      <c r="P39" s="6">
        <v>100</v>
      </c>
      <c r="Q39" s="6">
        <v>70</v>
      </c>
      <c r="R39" s="7">
        <v>2</v>
      </c>
    </row>
    <row r="40" spans="2:18" ht="16.5" thickTop="1" thickBot="1">
      <c r="B40" s="142"/>
      <c r="C40" s="5" t="s">
        <v>191</v>
      </c>
      <c r="D40" s="6">
        <v>80</v>
      </c>
      <c r="E40" s="6">
        <v>40</v>
      </c>
      <c r="F40" s="6">
        <v>5</v>
      </c>
      <c r="G40" s="6">
        <v>90</v>
      </c>
      <c r="H40" s="6">
        <v>40</v>
      </c>
      <c r="I40" s="6">
        <v>10</v>
      </c>
      <c r="J40" s="6" t="s">
        <v>184</v>
      </c>
      <c r="K40" s="6" t="s">
        <v>184</v>
      </c>
      <c r="L40" s="6" t="s">
        <v>184</v>
      </c>
      <c r="M40" s="6">
        <v>71</v>
      </c>
      <c r="N40" s="6">
        <v>24</v>
      </c>
      <c r="O40" s="6">
        <v>1</v>
      </c>
      <c r="P40" s="6">
        <v>75</v>
      </c>
      <c r="Q40" s="6">
        <v>51</v>
      </c>
      <c r="R40" s="7">
        <v>2</v>
      </c>
    </row>
    <row r="41" spans="2:18" ht="16.5" thickTop="1" thickBot="1">
      <c r="B41" s="142"/>
      <c r="C41" s="5" t="s">
        <v>192</v>
      </c>
      <c r="D41" s="6">
        <v>80</v>
      </c>
      <c r="E41" s="6">
        <v>40</v>
      </c>
      <c r="F41" s="6">
        <v>5</v>
      </c>
      <c r="G41" s="6">
        <v>90</v>
      </c>
      <c r="H41" s="6">
        <v>40</v>
      </c>
      <c r="I41" s="6">
        <v>10</v>
      </c>
      <c r="J41" s="6" t="s">
        <v>184</v>
      </c>
      <c r="K41" s="6" t="s">
        <v>184</v>
      </c>
      <c r="L41" s="6" t="s">
        <v>184</v>
      </c>
      <c r="M41" s="6">
        <v>82</v>
      </c>
      <c r="N41" s="6">
        <v>24</v>
      </c>
      <c r="O41" s="6">
        <v>1</v>
      </c>
      <c r="P41" s="6">
        <v>100</v>
      </c>
      <c r="Q41" s="6">
        <v>51</v>
      </c>
      <c r="R41" s="7">
        <v>2</v>
      </c>
    </row>
    <row r="42" spans="2:18" ht="16.5" thickTop="1" thickBot="1">
      <c r="B42" s="142"/>
      <c r="C42" s="5" t="s">
        <v>193</v>
      </c>
      <c r="D42" s="6">
        <v>80</v>
      </c>
      <c r="E42" s="6">
        <v>40</v>
      </c>
      <c r="F42" s="6">
        <v>5</v>
      </c>
      <c r="G42" s="6">
        <v>90</v>
      </c>
      <c r="H42" s="6">
        <v>40</v>
      </c>
      <c r="I42" s="6">
        <v>10</v>
      </c>
      <c r="J42" s="6" t="s">
        <v>184</v>
      </c>
      <c r="K42" s="6" t="s">
        <v>184</v>
      </c>
      <c r="L42" s="6" t="s">
        <v>184</v>
      </c>
      <c r="M42" s="6">
        <v>78</v>
      </c>
      <c r="N42" s="6">
        <v>23</v>
      </c>
      <c r="O42" s="6">
        <v>1</v>
      </c>
      <c r="P42" s="6">
        <v>100</v>
      </c>
      <c r="Q42" s="6">
        <v>51</v>
      </c>
      <c r="R42" s="7">
        <v>2</v>
      </c>
    </row>
    <row r="43" spans="2:18" ht="16.5" thickTop="1" thickBot="1">
      <c r="B43" s="142"/>
      <c r="C43" s="5" t="s">
        <v>194</v>
      </c>
      <c r="D43" s="6">
        <v>80</v>
      </c>
      <c r="E43" s="6">
        <v>40</v>
      </c>
      <c r="F43" s="6">
        <v>5</v>
      </c>
      <c r="G43" s="6">
        <v>90</v>
      </c>
      <c r="H43" s="6">
        <v>40</v>
      </c>
      <c r="I43" s="6">
        <v>10</v>
      </c>
      <c r="J43" s="6" t="s">
        <v>184</v>
      </c>
      <c r="K43" s="6" t="s">
        <v>184</v>
      </c>
      <c r="L43" s="6" t="s">
        <v>184</v>
      </c>
      <c r="M43" s="6">
        <v>74</v>
      </c>
      <c r="N43" s="6">
        <v>23</v>
      </c>
      <c r="O43" s="6">
        <v>1</v>
      </c>
      <c r="P43" s="6">
        <v>100</v>
      </c>
      <c r="Q43" s="6">
        <v>51</v>
      </c>
      <c r="R43" s="7">
        <v>2</v>
      </c>
    </row>
    <row r="44" spans="2:18" ht="16.5" thickTop="1" thickBot="1">
      <c r="B44" s="142"/>
      <c r="C44" s="5" t="s">
        <v>195</v>
      </c>
      <c r="D44" s="6">
        <v>80</v>
      </c>
      <c r="E44" s="6">
        <v>40</v>
      </c>
      <c r="F44" s="6">
        <v>0</v>
      </c>
      <c r="G44" s="6">
        <v>30</v>
      </c>
      <c r="H44" s="6">
        <v>40</v>
      </c>
      <c r="I44" s="6">
        <v>5</v>
      </c>
      <c r="J44" s="6" t="s">
        <v>184</v>
      </c>
      <c r="K44" s="6" t="s">
        <v>184</v>
      </c>
      <c r="L44" s="6" t="s">
        <v>184</v>
      </c>
      <c r="M44" s="6">
        <v>63</v>
      </c>
      <c r="N44" s="6">
        <v>23</v>
      </c>
      <c r="O44" s="6">
        <v>1</v>
      </c>
      <c r="P44" s="6">
        <v>100</v>
      </c>
      <c r="Q44" s="6">
        <v>51</v>
      </c>
      <c r="R44" s="7">
        <v>0</v>
      </c>
    </row>
    <row r="45" spans="2:18" ht="16.5" thickTop="1" thickBot="1">
      <c r="B45" s="142"/>
      <c r="C45" s="5" t="s">
        <v>196</v>
      </c>
      <c r="D45" s="6">
        <v>50</v>
      </c>
      <c r="E45" s="6">
        <v>10</v>
      </c>
      <c r="F45" s="6">
        <v>0</v>
      </c>
      <c r="G45" s="6">
        <v>30</v>
      </c>
      <c r="H45" s="6">
        <v>40</v>
      </c>
      <c r="I45" s="6">
        <v>5</v>
      </c>
      <c r="J45" s="6" t="s">
        <v>184</v>
      </c>
      <c r="K45" s="6" t="s">
        <v>184</v>
      </c>
      <c r="L45" s="6" t="s">
        <v>184</v>
      </c>
      <c r="M45" s="6">
        <v>41</v>
      </c>
      <c r="N45" s="6">
        <v>10</v>
      </c>
      <c r="O45" s="6">
        <v>1</v>
      </c>
      <c r="P45" s="6">
        <v>100</v>
      </c>
      <c r="Q45" s="6">
        <v>25</v>
      </c>
      <c r="R45" s="7">
        <v>0</v>
      </c>
    </row>
    <row r="46" spans="2:18" ht="16.5" thickTop="1" thickBot="1">
      <c r="B46" s="142"/>
      <c r="C46" s="5" t="s">
        <v>197</v>
      </c>
      <c r="D46" s="6">
        <v>30</v>
      </c>
      <c r="E46" s="6">
        <v>10</v>
      </c>
      <c r="F46" s="6">
        <v>0</v>
      </c>
      <c r="G46" s="6">
        <v>30</v>
      </c>
      <c r="H46" s="6">
        <v>10</v>
      </c>
      <c r="I46" s="6">
        <v>5</v>
      </c>
      <c r="J46" s="6" t="s">
        <v>184</v>
      </c>
      <c r="K46" s="6" t="s">
        <v>184</v>
      </c>
      <c r="L46" s="6" t="s">
        <v>184</v>
      </c>
      <c r="M46" s="6">
        <v>18</v>
      </c>
      <c r="N46" s="6">
        <v>1</v>
      </c>
      <c r="O46" s="6">
        <v>1</v>
      </c>
      <c r="P46" s="6">
        <v>52</v>
      </c>
      <c r="Q46" s="6">
        <v>2</v>
      </c>
      <c r="R46" s="7">
        <v>0</v>
      </c>
    </row>
    <row r="47" spans="2:18" ht="16.5" thickTop="1" thickBot="1">
      <c r="B47" s="142"/>
      <c r="C47" s="5" t="s">
        <v>198</v>
      </c>
      <c r="D47" s="6">
        <v>30</v>
      </c>
      <c r="E47" s="6">
        <v>0</v>
      </c>
      <c r="F47" s="6">
        <v>0</v>
      </c>
      <c r="G47" s="6">
        <v>30</v>
      </c>
      <c r="H47" s="6">
        <v>10</v>
      </c>
      <c r="I47" s="6">
        <v>5</v>
      </c>
      <c r="J47" s="6" t="s">
        <v>184</v>
      </c>
      <c r="K47" s="6" t="s">
        <v>184</v>
      </c>
      <c r="L47" s="6" t="s">
        <v>184</v>
      </c>
      <c r="M47" s="6">
        <v>18</v>
      </c>
      <c r="N47" s="6">
        <v>1</v>
      </c>
      <c r="O47" s="6">
        <v>1</v>
      </c>
      <c r="P47" s="6">
        <v>52</v>
      </c>
      <c r="Q47" s="6">
        <v>0</v>
      </c>
      <c r="R47" s="7">
        <v>0</v>
      </c>
    </row>
    <row r="48" spans="2:18" ht="16.5" thickTop="1" thickBot="1">
      <c r="B48" s="142"/>
      <c r="C48" s="5" t="s">
        <v>199</v>
      </c>
      <c r="D48" s="6">
        <v>20</v>
      </c>
      <c r="E48" s="6">
        <v>0</v>
      </c>
      <c r="F48" s="6">
        <v>0</v>
      </c>
      <c r="G48" s="6">
        <v>30</v>
      </c>
      <c r="H48" s="6">
        <v>10</v>
      </c>
      <c r="I48" s="6">
        <v>5</v>
      </c>
      <c r="J48" s="6" t="s">
        <v>184</v>
      </c>
      <c r="K48" s="6" t="s">
        <v>184</v>
      </c>
      <c r="L48" s="6" t="s">
        <v>184</v>
      </c>
      <c r="M48" s="6">
        <v>18</v>
      </c>
      <c r="N48" s="6">
        <v>1</v>
      </c>
      <c r="O48" s="6">
        <v>1</v>
      </c>
      <c r="P48" s="6">
        <v>52</v>
      </c>
      <c r="Q48" s="6">
        <v>0</v>
      </c>
      <c r="R48" s="7">
        <v>0</v>
      </c>
    </row>
    <row r="49" spans="2:18" ht="16.5" thickTop="1" thickBot="1">
      <c r="B49" s="142"/>
      <c r="C49" s="5" t="s">
        <v>200</v>
      </c>
      <c r="D49" s="6">
        <v>20</v>
      </c>
      <c r="E49" s="6">
        <v>0</v>
      </c>
      <c r="F49" s="6">
        <v>0</v>
      </c>
      <c r="G49" s="6">
        <v>30</v>
      </c>
      <c r="H49" s="6">
        <v>10</v>
      </c>
      <c r="I49" s="6">
        <v>5</v>
      </c>
      <c r="J49" s="6" t="s">
        <v>184</v>
      </c>
      <c r="K49" s="6" t="s">
        <v>184</v>
      </c>
      <c r="L49" s="6" t="s">
        <v>184</v>
      </c>
      <c r="M49" s="6">
        <v>10</v>
      </c>
      <c r="N49" s="6">
        <v>1</v>
      </c>
      <c r="O49" s="6">
        <v>1</v>
      </c>
      <c r="P49" s="6">
        <v>28</v>
      </c>
      <c r="Q49" s="6">
        <v>0</v>
      </c>
      <c r="R49" s="7">
        <v>0</v>
      </c>
    </row>
    <row r="50" spans="2:18" ht="16.5" thickTop="1" thickBot="1">
      <c r="B50" s="142"/>
      <c r="C50" s="5" t="s">
        <v>201</v>
      </c>
      <c r="D50" s="6">
        <v>0</v>
      </c>
      <c r="E50" s="6">
        <v>0</v>
      </c>
      <c r="F50" s="6">
        <v>0</v>
      </c>
      <c r="G50" s="6">
        <v>30</v>
      </c>
      <c r="H50" s="6">
        <v>10</v>
      </c>
      <c r="I50" s="6">
        <v>5</v>
      </c>
      <c r="J50" s="6" t="s">
        <v>184</v>
      </c>
      <c r="K50" s="6" t="s">
        <v>184</v>
      </c>
      <c r="L50" s="6" t="s">
        <v>184</v>
      </c>
      <c r="M50" s="6">
        <v>1</v>
      </c>
      <c r="N50" s="6">
        <v>1</v>
      </c>
      <c r="O50" s="6">
        <v>1</v>
      </c>
      <c r="P50" s="6">
        <v>0</v>
      </c>
      <c r="Q50" s="6">
        <v>0</v>
      </c>
      <c r="R50" s="7">
        <v>0</v>
      </c>
    </row>
    <row r="51" spans="2:18" ht="16.5" thickTop="1" thickBot="1">
      <c r="B51" s="142"/>
      <c r="C51" s="8" t="s">
        <v>202</v>
      </c>
      <c r="D51" s="9">
        <v>0</v>
      </c>
      <c r="E51" s="9">
        <v>0</v>
      </c>
      <c r="F51" s="9">
        <v>0</v>
      </c>
      <c r="G51" s="9">
        <v>10</v>
      </c>
      <c r="H51" s="9">
        <v>10</v>
      </c>
      <c r="I51" s="9">
        <v>5</v>
      </c>
      <c r="J51" s="9" t="s">
        <v>184</v>
      </c>
      <c r="K51" s="9" t="s">
        <v>184</v>
      </c>
      <c r="L51" s="9" t="s">
        <v>184</v>
      </c>
      <c r="M51" s="9">
        <v>1</v>
      </c>
      <c r="N51" s="9">
        <v>1</v>
      </c>
      <c r="O51" s="9">
        <v>1</v>
      </c>
      <c r="P51" s="9">
        <v>0</v>
      </c>
      <c r="Q51" s="9">
        <v>0</v>
      </c>
      <c r="R51" s="10">
        <v>0</v>
      </c>
    </row>
    <row r="52" spans="2:18" ht="16.5" thickTop="1" thickBot="1">
      <c r="B52" s="142" t="s">
        <v>214</v>
      </c>
      <c r="C52" s="2" t="s">
        <v>177</v>
      </c>
      <c r="D52" s="3">
        <v>90</v>
      </c>
      <c r="E52" s="3">
        <v>90</v>
      </c>
      <c r="F52" s="3">
        <v>70</v>
      </c>
      <c r="G52" s="3">
        <v>20</v>
      </c>
      <c r="H52" s="3">
        <v>20</v>
      </c>
      <c r="I52" s="3">
        <v>30</v>
      </c>
      <c r="J52" s="3" t="s">
        <v>184</v>
      </c>
      <c r="K52" s="3" t="s">
        <v>184</v>
      </c>
      <c r="L52" s="3" t="s">
        <v>184</v>
      </c>
      <c r="M52" s="3">
        <v>20</v>
      </c>
      <c r="N52" s="3">
        <v>20</v>
      </c>
      <c r="O52" s="3">
        <v>25</v>
      </c>
      <c r="P52" s="3">
        <v>40</v>
      </c>
      <c r="Q52" s="3">
        <v>44</v>
      </c>
      <c r="R52" s="4">
        <v>55</v>
      </c>
    </row>
    <row r="53" spans="2:18" ht="16.5" thickTop="1" thickBot="1">
      <c r="B53" s="142"/>
      <c r="C53" s="5" t="s">
        <v>179</v>
      </c>
      <c r="D53" s="6">
        <v>90</v>
      </c>
      <c r="E53" s="6">
        <v>90</v>
      </c>
      <c r="F53" s="6">
        <v>70</v>
      </c>
      <c r="G53" s="6">
        <v>15</v>
      </c>
      <c r="H53" s="6">
        <v>20</v>
      </c>
      <c r="I53" s="6">
        <v>30</v>
      </c>
      <c r="J53" s="6" t="s">
        <v>184</v>
      </c>
      <c r="K53" s="6" t="s">
        <v>184</v>
      </c>
      <c r="L53" s="6" t="s">
        <v>184</v>
      </c>
      <c r="M53" s="6">
        <v>15</v>
      </c>
      <c r="N53" s="6">
        <v>15</v>
      </c>
      <c r="O53" s="6">
        <v>20</v>
      </c>
      <c r="P53" s="6">
        <v>33</v>
      </c>
      <c r="Q53" s="6">
        <v>35</v>
      </c>
      <c r="R53" s="7">
        <v>55</v>
      </c>
    </row>
    <row r="54" spans="2:18" ht="16.5" thickTop="1" thickBot="1">
      <c r="B54" s="142"/>
      <c r="C54" s="5" t="s">
        <v>180</v>
      </c>
      <c r="D54" s="6">
        <v>90</v>
      </c>
      <c r="E54" s="6">
        <v>90</v>
      </c>
      <c r="F54" s="6">
        <v>70</v>
      </c>
      <c r="G54" s="6">
        <v>10</v>
      </c>
      <c r="H54" s="6">
        <v>10</v>
      </c>
      <c r="I54" s="6">
        <v>20</v>
      </c>
      <c r="J54" s="6" t="s">
        <v>184</v>
      </c>
      <c r="K54" s="6" t="s">
        <v>184</v>
      </c>
      <c r="L54" s="6" t="s">
        <v>184</v>
      </c>
      <c r="M54" s="6">
        <v>15</v>
      </c>
      <c r="N54" s="6">
        <v>15</v>
      </c>
      <c r="O54" s="6">
        <v>20</v>
      </c>
      <c r="P54" s="6">
        <v>33</v>
      </c>
      <c r="Q54" s="6">
        <v>35</v>
      </c>
      <c r="R54" s="7">
        <v>43</v>
      </c>
    </row>
    <row r="55" spans="2:18" ht="16.5" thickTop="1" thickBot="1">
      <c r="B55" s="142"/>
      <c r="C55" s="5" t="s">
        <v>181</v>
      </c>
      <c r="D55" s="6">
        <v>90</v>
      </c>
      <c r="E55" s="6">
        <v>90</v>
      </c>
      <c r="F55" s="6">
        <v>70</v>
      </c>
      <c r="G55" s="6">
        <v>10</v>
      </c>
      <c r="H55" s="6">
        <v>10</v>
      </c>
      <c r="I55" s="6">
        <v>20</v>
      </c>
      <c r="J55" s="6" t="s">
        <v>184</v>
      </c>
      <c r="K55" s="6" t="s">
        <v>184</v>
      </c>
      <c r="L55" s="6" t="s">
        <v>184</v>
      </c>
      <c r="M55" s="6">
        <v>15</v>
      </c>
      <c r="N55" s="6">
        <v>15</v>
      </c>
      <c r="O55" s="6">
        <v>20</v>
      </c>
      <c r="P55" s="6">
        <v>33</v>
      </c>
      <c r="Q55" s="6">
        <v>35</v>
      </c>
      <c r="R55" s="7">
        <v>43</v>
      </c>
    </row>
    <row r="56" spans="2:18" ht="16.5" thickTop="1" thickBot="1">
      <c r="B56" s="142"/>
      <c r="C56" s="5" t="s">
        <v>182</v>
      </c>
      <c r="D56" s="6">
        <v>90</v>
      </c>
      <c r="E56" s="6">
        <v>90</v>
      </c>
      <c r="F56" s="6">
        <v>70</v>
      </c>
      <c r="G56" s="6">
        <v>10</v>
      </c>
      <c r="H56" s="6">
        <v>10</v>
      </c>
      <c r="I56" s="6">
        <v>20</v>
      </c>
      <c r="J56" s="6" t="s">
        <v>184</v>
      </c>
      <c r="K56" s="6" t="s">
        <v>184</v>
      </c>
      <c r="L56" s="6" t="s">
        <v>184</v>
      </c>
      <c r="M56" s="6">
        <v>20</v>
      </c>
      <c r="N56" s="6">
        <v>20</v>
      </c>
      <c r="O56" s="6">
        <v>20</v>
      </c>
      <c r="P56" s="6">
        <v>33</v>
      </c>
      <c r="Q56" s="6">
        <v>35</v>
      </c>
      <c r="R56" s="7">
        <v>43</v>
      </c>
    </row>
    <row r="57" spans="2:18" ht="16.5" thickTop="1" thickBot="1">
      <c r="B57" s="142"/>
      <c r="C57" s="5" t="s">
        <v>183</v>
      </c>
      <c r="D57" s="6">
        <v>90</v>
      </c>
      <c r="E57" s="6">
        <v>90</v>
      </c>
      <c r="F57" s="6">
        <v>70</v>
      </c>
      <c r="G57" s="6">
        <v>20</v>
      </c>
      <c r="H57" s="6">
        <v>10</v>
      </c>
      <c r="I57" s="6">
        <v>20</v>
      </c>
      <c r="J57" s="6" t="s">
        <v>184</v>
      </c>
      <c r="K57" s="6" t="s">
        <v>184</v>
      </c>
      <c r="L57" s="6" t="s">
        <v>184</v>
      </c>
      <c r="M57" s="6">
        <v>25</v>
      </c>
      <c r="N57" s="6">
        <v>25</v>
      </c>
      <c r="O57" s="6">
        <v>30</v>
      </c>
      <c r="P57" s="6">
        <v>33</v>
      </c>
      <c r="Q57" s="6">
        <v>35</v>
      </c>
      <c r="R57" s="7">
        <v>43</v>
      </c>
    </row>
    <row r="58" spans="2:18" ht="16.5" thickTop="1" thickBot="1">
      <c r="B58" s="142"/>
      <c r="C58" s="5" t="s">
        <v>185</v>
      </c>
      <c r="D58" s="6">
        <v>70</v>
      </c>
      <c r="E58" s="6">
        <v>70</v>
      </c>
      <c r="F58" s="6">
        <v>70</v>
      </c>
      <c r="G58" s="6">
        <v>40</v>
      </c>
      <c r="H58" s="6">
        <v>30</v>
      </c>
      <c r="I58" s="6">
        <v>30</v>
      </c>
      <c r="J58" s="6" t="s">
        <v>184</v>
      </c>
      <c r="K58" s="6" t="s">
        <v>184</v>
      </c>
      <c r="L58" s="6" t="s">
        <v>184</v>
      </c>
      <c r="M58" s="6">
        <v>50</v>
      </c>
      <c r="N58" s="6">
        <v>40</v>
      </c>
      <c r="O58" s="6">
        <v>50</v>
      </c>
      <c r="P58" s="6">
        <v>42</v>
      </c>
      <c r="Q58" s="6">
        <v>40</v>
      </c>
      <c r="R58" s="7">
        <v>52</v>
      </c>
    </row>
    <row r="59" spans="2:18" ht="16.5" thickTop="1" thickBot="1">
      <c r="B59" s="142"/>
      <c r="C59" s="5" t="s">
        <v>186</v>
      </c>
      <c r="D59" s="6">
        <v>40</v>
      </c>
      <c r="E59" s="6">
        <v>50</v>
      </c>
      <c r="F59" s="6">
        <v>70</v>
      </c>
      <c r="G59" s="6">
        <v>50</v>
      </c>
      <c r="H59" s="6">
        <v>30</v>
      </c>
      <c r="I59" s="6">
        <v>40</v>
      </c>
      <c r="J59" s="6" t="s">
        <v>184</v>
      </c>
      <c r="K59" s="6" t="s">
        <v>184</v>
      </c>
      <c r="L59" s="6" t="s">
        <v>184</v>
      </c>
      <c r="M59" s="6">
        <v>60</v>
      </c>
      <c r="N59" s="6">
        <v>50</v>
      </c>
      <c r="O59" s="6">
        <v>50</v>
      </c>
      <c r="P59" s="6">
        <v>42</v>
      </c>
      <c r="Q59" s="6">
        <v>32</v>
      </c>
      <c r="R59" s="7">
        <v>52</v>
      </c>
    </row>
    <row r="60" spans="2:18" ht="16.5" thickTop="1" thickBot="1">
      <c r="B60" s="142"/>
      <c r="C60" s="5" t="s">
        <v>187</v>
      </c>
      <c r="D60" s="6">
        <v>40</v>
      </c>
      <c r="E60" s="6">
        <v>50</v>
      </c>
      <c r="F60" s="6">
        <v>50</v>
      </c>
      <c r="G60" s="6">
        <v>40</v>
      </c>
      <c r="H60" s="6">
        <v>40</v>
      </c>
      <c r="I60" s="6">
        <v>40</v>
      </c>
      <c r="J60" s="6" t="s">
        <v>184</v>
      </c>
      <c r="K60" s="6" t="s">
        <v>184</v>
      </c>
      <c r="L60" s="6" t="s">
        <v>184</v>
      </c>
      <c r="M60" s="6">
        <v>55</v>
      </c>
      <c r="N60" s="6">
        <v>50</v>
      </c>
      <c r="O60" s="6">
        <v>50</v>
      </c>
      <c r="P60" s="6">
        <v>52</v>
      </c>
      <c r="Q60" s="6">
        <v>45</v>
      </c>
      <c r="R60" s="7">
        <v>65</v>
      </c>
    </row>
    <row r="61" spans="2:18" ht="16.5" thickTop="1" thickBot="1">
      <c r="B61" s="142"/>
      <c r="C61" s="5" t="s">
        <v>188</v>
      </c>
      <c r="D61" s="6">
        <v>20</v>
      </c>
      <c r="E61" s="6">
        <v>30</v>
      </c>
      <c r="F61" s="6">
        <v>50</v>
      </c>
      <c r="G61" s="6">
        <v>40</v>
      </c>
      <c r="H61" s="6">
        <v>40</v>
      </c>
      <c r="I61" s="6">
        <v>30</v>
      </c>
      <c r="J61" s="6" t="s">
        <v>184</v>
      </c>
      <c r="K61" s="6" t="s">
        <v>184</v>
      </c>
      <c r="L61" s="6" t="s">
        <v>184</v>
      </c>
      <c r="M61" s="6">
        <v>45</v>
      </c>
      <c r="N61" s="6">
        <v>50</v>
      </c>
      <c r="O61" s="6">
        <v>55</v>
      </c>
      <c r="P61" s="6">
        <v>52</v>
      </c>
      <c r="Q61" s="6">
        <v>45</v>
      </c>
      <c r="R61" s="7">
        <v>65</v>
      </c>
    </row>
    <row r="62" spans="2:18" ht="16.5" thickTop="1" thickBot="1">
      <c r="B62" s="142"/>
      <c r="C62" s="5" t="s">
        <v>189</v>
      </c>
      <c r="D62" s="6">
        <v>20</v>
      </c>
      <c r="E62" s="6">
        <v>30</v>
      </c>
      <c r="F62" s="6">
        <v>50</v>
      </c>
      <c r="G62" s="6">
        <v>25</v>
      </c>
      <c r="H62" s="6">
        <v>30</v>
      </c>
      <c r="I62" s="6">
        <v>30</v>
      </c>
      <c r="J62" s="6" t="s">
        <v>184</v>
      </c>
      <c r="K62" s="6" t="s">
        <v>184</v>
      </c>
      <c r="L62" s="6" t="s">
        <v>184</v>
      </c>
      <c r="M62" s="6">
        <v>40</v>
      </c>
      <c r="N62" s="6">
        <v>45</v>
      </c>
      <c r="O62" s="6">
        <v>50</v>
      </c>
      <c r="P62" s="6">
        <v>40</v>
      </c>
      <c r="Q62" s="6">
        <v>42</v>
      </c>
      <c r="R62" s="7">
        <v>53</v>
      </c>
    </row>
    <row r="63" spans="2:18" ht="16.5" thickTop="1" thickBot="1">
      <c r="B63" s="142"/>
      <c r="C63" s="5" t="s">
        <v>190</v>
      </c>
      <c r="D63" s="6">
        <v>20</v>
      </c>
      <c r="E63" s="6">
        <v>30</v>
      </c>
      <c r="F63" s="6">
        <v>30</v>
      </c>
      <c r="G63" s="6">
        <v>25</v>
      </c>
      <c r="H63" s="6">
        <v>25</v>
      </c>
      <c r="I63" s="6">
        <v>30</v>
      </c>
      <c r="J63" s="6" t="s">
        <v>184</v>
      </c>
      <c r="K63" s="6" t="s">
        <v>184</v>
      </c>
      <c r="L63" s="6" t="s">
        <v>184</v>
      </c>
      <c r="M63" s="6">
        <v>45</v>
      </c>
      <c r="N63" s="6">
        <v>50</v>
      </c>
      <c r="O63" s="6">
        <v>50</v>
      </c>
      <c r="P63" s="6">
        <v>51</v>
      </c>
      <c r="Q63" s="6">
        <v>60</v>
      </c>
      <c r="R63" s="7">
        <v>60</v>
      </c>
    </row>
    <row r="64" spans="2:18" ht="16.5" thickTop="1" thickBot="1">
      <c r="B64" s="142"/>
      <c r="C64" s="5" t="s">
        <v>191</v>
      </c>
      <c r="D64" s="6">
        <v>20</v>
      </c>
      <c r="E64" s="6">
        <v>30</v>
      </c>
      <c r="F64" s="6">
        <v>30</v>
      </c>
      <c r="G64" s="6">
        <v>25</v>
      </c>
      <c r="H64" s="6">
        <v>25</v>
      </c>
      <c r="I64" s="6">
        <v>30</v>
      </c>
      <c r="J64" s="6" t="s">
        <v>184</v>
      </c>
      <c r="K64" s="6" t="s">
        <v>184</v>
      </c>
      <c r="L64" s="6" t="s">
        <v>184</v>
      </c>
      <c r="M64" s="6">
        <v>40</v>
      </c>
      <c r="N64" s="6">
        <v>50</v>
      </c>
      <c r="O64" s="6">
        <v>40</v>
      </c>
      <c r="P64" s="6">
        <v>51</v>
      </c>
      <c r="Q64" s="6">
        <v>65</v>
      </c>
      <c r="R64" s="7">
        <v>53</v>
      </c>
    </row>
    <row r="65" spans="2:18" ht="16.5" thickTop="1" thickBot="1">
      <c r="B65" s="142"/>
      <c r="C65" s="5" t="s">
        <v>192</v>
      </c>
      <c r="D65" s="6">
        <v>20</v>
      </c>
      <c r="E65" s="6">
        <v>30</v>
      </c>
      <c r="F65" s="6">
        <v>20</v>
      </c>
      <c r="G65" s="6">
        <v>25</v>
      </c>
      <c r="H65" s="6">
        <v>25</v>
      </c>
      <c r="I65" s="6">
        <v>20</v>
      </c>
      <c r="J65" s="6" t="s">
        <v>184</v>
      </c>
      <c r="K65" s="6" t="s">
        <v>184</v>
      </c>
      <c r="L65" s="6" t="s">
        <v>184</v>
      </c>
      <c r="M65" s="6">
        <v>35</v>
      </c>
      <c r="N65" s="6">
        <v>45</v>
      </c>
      <c r="O65" s="6">
        <v>40</v>
      </c>
      <c r="P65" s="6">
        <v>51</v>
      </c>
      <c r="Q65" s="6">
        <v>65</v>
      </c>
      <c r="R65" s="7">
        <v>51</v>
      </c>
    </row>
    <row r="66" spans="2:18" ht="16.5" thickTop="1" thickBot="1">
      <c r="B66" s="142"/>
      <c r="C66" s="5" t="s">
        <v>193</v>
      </c>
      <c r="D66" s="6">
        <v>20</v>
      </c>
      <c r="E66" s="6">
        <v>30</v>
      </c>
      <c r="F66" s="6">
        <v>20</v>
      </c>
      <c r="G66" s="6">
        <v>25</v>
      </c>
      <c r="H66" s="6">
        <v>25</v>
      </c>
      <c r="I66" s="6">
        <v>20</v>
      </c>
      <c r="J66" s="6" t="s">
        <v>184</v>
      </c>
      <c r="K66" s="6" t="s">
        <v>184</v>
      </c>
      <c r="L66" s="6" t="s">
        <v>184</v>
      </c>
      <c r="M66" s="6">
        <v>30</v>
      </c>
      <c r="N66" s="6">
        <v>40</v>
      </c>
      <c r="O66" s="6">
        <v>30</v>
      </c>
      <c r="P66" s="6">
        <v>51</v>
      </c>
      <c r="Q66" s="6">
        <v>65</v>
      </c>
      <c r="R66" s="7">
        <v>50</v>
      </c>
    </row>
    <row r="67" spans="2:18" ht="16.5" thickTop="1" thickBot="1">
      <c r="B67" s="142"/>
      <c r="C67" s="5" t="s">
        <v>194</v>
      </c>
      <c r="D67" s="6">
        <v>30</v>
      </c>
      <c r="E67" s="6">
        <v>30</v>
      </c>
      <c r="F67" s="6">
        <v>20</v>
      </c>
      <c r="G67" s="6">
        <v>25</v>
      </c>
      <c r="H67" s="6">
        <v>25</v>
      </c>
      <c r="I67" s="6">
        <v>20</v>
      </c>
      <c r="J67" s="6" t="s">
        <v>184</v>
      </c>
      <c r="K67" s="6" t="s">
        <v>184</v>
      </c>
      <c r="L67" s="6" t="s">
        <v>184</v>
      </c>
      <c r="M67" s="6">
        <v>30</v>
      </c>
      <c r="N67" s="6">
        <v>40</v>
      </c>
      <c r="O67" s="6">
        <v>30</v>
      </c>
      <c r="P67" s="6">
        <v>51</v>
      </c>
      <c r="Q67" s="6">
        <v>65</v>
      </c>
      <c r="R67" s="7">
        <v>44</v>
      </c>
    </row>
    <row r="68" spans="2:18" ht="16.5" thickTop="1" thickBot="1">
      <c r="B68" s="142"/>
      <c r="C68" s="5" t="s">
        <v>195</v>
      </c>
      <c r="D68" s="6">
        <v>50</v>
      </c>
      <c r="E68" s="6">
        <v>30</v>
      </c>
      <c r="F68" s="6">
        <v>30</v>
      </c>
      <c r="G68" s="6">
        <v>25</v>
      </c>
      <c r="H68" s="6">
        <v>25</v>
      </c>
      <c r="I68" s="6">
        <v>20</v>
      </c>
      <c r="J68" s="6" t="s">
        <v>184</v>
      </c>
      <c r="K68" s="6" t="s">
        <v>184</v>
      </c>
      <c r="L68" s="6" t="s">
        <v>184</v>
      </c>
      <c r="M68" s="6">
        <v>30</v>
      </c>
      <c r="N68" s="6">
        <v>35</v>
      </c>
      <c r="O68" s="6">
        <v>30</v>
      </c>
      <c r="P68" s="6">
        <v>63</v>
      </c>
      <c r="Q68" s="6">
        <v>65</v>
      </c>
      <c r="R68" s="7">
        <v>64</v>
      </c>
    </row>
    <row r="69" spans="2:18" ht="16.5" thickTop="1" thickBot="1">
      <c r="B69" s="142"/>
      <c r="C69" s="5" t="s">
        <v>196</v>
      </c>
      <c r="D69" s="6">
        <v>50</v>
      </c>
      <c r="E69" s="6">
        <v>50</v>
      </c>
      <c r="F69" s="6">
        <v>40</v>
      </c>
      <c r="G69" s="6">
        <v>25</v>
      </c>
      <c r="H69" s="6">
        <v>25</v>
      </c>
      <c r="I69" s="6">
        <v>20</v>
      </c>
      <c r="J69" s="6" t="s">
        <v>184</v>
      </c>
      <c r="K69" s="6" t="s">
        <v>184</v>
      </c>
      <c r="L69" s="6" t="s">
        <v>184</v>
      </c>
      <c r="M69" s="6">
        <v>40</v>
      </c>
      <c r="N69" s="6">
        <v>40</v>
      </c>
      <c r="O69" s="6">
        <v>40</v>
      </c>
      <c r="P69" s="6">
        <v>80</v>
      </c>
      <c r="Q69" s="6">
        <v>75</v>
      </c>
      <c r="R69" s="7">
        <v>62</v>
      </c>
    </row>
    <row r="70" spans="2:18" ht="16.5" thickTop="1" thickBot="1">
      <c r="B70" s="142"/>
      <c r="C70" s="5" t="s">
        <v>197</v>
      </c>
      <c r="D70" s="6">
        <v>50</v>
      </c>
      <c r="E70" s="6">
        <v>60</v>
      </c>
      <c r="F70" s="6">
        <v>40</v>
      </c>
      <c r="G70" s="6">
        <v>60</v>
      </c>
      <c r="H70" s="6">
        <v>60</v>
      </c>
      <c r="I70" s="6">
        <v>50</v>
      </c>
      <c r="J70" s="6" t="s">
        <v>184</v>
      </c>
      <c r="K70" s="6" t="s">
        <v>184</v>
      </c>
      <c r="L70" s="6" t="s">
        <v>184</v>
      </c>
      <c r="M70" s="6">
        <v>55</v>
      </c>
      <c r="N70" s="6">
        <v>55</v>
      </c>
      <c r="O70" s="6">
        <v>50</v>
      </c>
      <c r="P70" s="6">
        <v>86</v>
      </c>
      <c r="Q70" s="6">
        <v>80</v>
      </c>
      <c r="R70" s="7">
        <v>65</v>
      </c>
    </row>
    <row r="71" spans="2:18" ht="16.5" thickTop="1" thickBot="1">
      <c r="B71" s="142"/>
      <c r="C71" s="5" t="s">
        <v>198</v>
      </c>
      <c r="D71" s="6">
        <v>70</v>
      </c>
      <c r="E71" s="6">
        <v>60</v>
      </c>
      <c r="F71" s="6">
        <v>60</v>
      </c>
      <c r="G71" s="6">
        <v>80</v>
      </c>
      <c r="H71" s="6">
        <v>70</v>
      </c>
      <c r="I71" s="6">
        <v>70</v>
      </c>
      <c r="J71" s="6" t="s">
        <v>184</v>
      </c>
      <c r="K71" s="6" t="s">
        <v>184</v>
      </c>
      <c r="L71" s="6" t="s">
        <v>184</v>
      </c>
      <c r="M71" s="6">
        <v>60</v>
      </c>
      <c r="N71" s="6">
        <v>55</v>
      </c>
      <c r="O71" s="6">
        <v>50</v>
      </c>
      <c r="P71" s="6">
        <v>70</v>
      </c>
      <c r="Q71" s="6">
        <v>80</v>
      </c>
      <c r="R71" s="7">
        <v>63</v>
      </c>
    </row>
    <row r="72" spans="2:18" ht="16.5" thickTop="1" thickBot="1">
      <c r="B72" s="142"/>
      <c r="C72" s="5" t="s">
        <v>199</v>
      </c>
      <c r="D72" s="6">
        <v>70</v>
      </c>
      <c r="E72" s="6">
        <v>60</v>
      </c>
      <c r="F72" s="6">
        <v>60</v>
      </c>
      <c r="G72" s="6">
        <v>90</v>
      </c>
      <c r="H72" s="6">
        <v>70</v>
      </c>
      <c r="I72" s="6">
        <v>80</v>
      </c>
      <c r="J72" s="6" t="s">
        <v>184</v>
      </c>
      <c r="K72" s="6" t="s">
        <v>184</v>
      </c>
      <c r="L72" s="6" t="s">
        <v>184</v>
      </c>
      <c r="M72" s="6">
        <v>50</v>
      </c>
      <c r="N72" s="6">
        <v>50</v>
      </c>
      <c r="O72" s="6">
        <v>40</v>
      </c>
      <c r="P72" s="6">
        <v>70</v>
      </c>
      <c r="Q72" s="6">
        <v>75</v>
      </c>
      <c r="R72" s="7">
        <v>63</v>
      </c>
    </row>
    <row r="73" spans="2:18" ht="16.5" thickTop="1" thickBot="1">
      <c r="B73" s="142"/>
      <c r="C73" s="5" t="s">
        <v>200</v>
      </c>
      <c r="D73" s="6">
        <v>80</v>
      </c>
      <c r="E73" s="6">
        <v>70</v>
      </c>
      <c r="F73" s="6">
        <v>80</v>
      </c>
      <c r="G73" s="6">
        <v>80</v>
      </c>
      <c r="H73" s="6">
        <v>70</v>
      </c>
      <c r="I73" s="6">
        <v>60</v>
      </c>
      <c r="J73" s="6" t="s">
        <v>184</v>
      </c>
      <c r="K73" s="6" t="s">
        <v>184</v>
      </c>
      <c r="L73" s="6" t="s">
        <v>184</v>
      </c>
      <c r="M73" s="6">
        <v>55</v>
      </c>
      <c r="N73" s="6">
        <v>55</v>
      </c>
      <c r="O73" s="6">
        <v>50</v>
      </c>
      <c r="P73" s="6">
        <v>70</v>
      </c>
      <c r="Q73" s="6">
        <v>75</v>
      </c>
      <c r="R73" s="7">
        <v>63</v>
      </c>
    </row>
    <row r="74" spans="2:18" ht="16.5" thickTop="1" thickBot="1">
      <c r="B74" s="142"/>
      <c r="C74" s="5" t="s">
        <v>201</v>
      </c>
      <c r="D74" s="6">
        <v>90</v>
      </c>
      <c r="E74" s="6">
        <v>70</v>
      </c>
      <c r="F74" s="6">
        <v>80</v>
      </c>
      <c r="G74" s="6">
        <v>60</v>
      </c>
      <c r="H74" s="6">
        <v>60</v>
      </c>
      <c r="I74" s="6">
        <v>50</v>
      </c>
      <c r="J74" s="6" t="s">
        <v>184</v>
      </c>
      <c r="K74" s="6" t="s">
        <v>184</v>
      </c>
      <c r="L74" s="6" t="s">
        <v>184</v>
      </c>
      <c r="M74" s="6">
        <v>45</v>
      </c>
      <c r="N74" s="6">
        <v>40</v>
      </c>
      <c r="O74" s="6">
        <v>40</v>
      </c>
      <c r="P74" s="6">
        <v>45</v>
      </c>
      <c r="Q74" s="6">
        <v>55</v>
      </c>
      <c r="R74" s="7">
        <v>40</v>
      </c>
    </row>
    <row r="75" spans="2:18" ht="16.5" thickTop="1" thickBot="1">
      <c r="B75" s="142"/>
      <c r="C75" s="8" t="s">
        <v>202</v>
      </c>
      <c r="D75" s="9">
        <v>90</v>
      </c>
      <c r="E75" s="9">
        <v>70</v>
      </c>
      <c r="F75" s="9">
        <v>80</v>
      </c>
      <c r="G75" s="9">
        <v>30</v>
      </c>
      <c r="H75" s="9">
        <v>30</v>
      </c>
      <c r="I75" s="9">
        <v>30</v>
      </c>
      <c r="J75" s="9" t="s">
        <v>184</v>
      </c>
      <c r="K75" s="9" t="s">
        <v>184</v>
      </c>
      <c r="L75" s="9" t="s">
        <v>184</v>
      </c>
      <c r="M75" s="9">
        <v>25</v>
      </c>
      <c r="N75" s="9">
        <v>30</v>
      </c>
      <c r="O75" s="9">
        <v>20</v>
      </c>
      <c r="P75" s="9">
        <v>45</v>
      </c>
      <c r="Q75" s="9">
        <v>55</v>
      </c>
      <c r="R75" s="10">
        <v>40</v>
      </c>
    </row>
    <row r="76" spans="2:18" ht="16.5" thickTop="1" thickBot="1">
      <c r="B76" s="142" t="s">
        <v>215</v>
      </c>
      <c r="C76" s="2" t="s">
        <v>177</v>
      </c>
      <c r="D76" s="3">
        <v>0</v>
      </c>
      <c r="E76" s="3">
        <v>0</v>
      </c>
      <c r="F76" s="3">
        <v>0</v>
      </c>
      <c r="G76" s="3">
        <v>5</v>
      </c>
      <c r="H76" s="3">
        <v>5</v>
      </c>
      <c r="I76" s="3">
        <v>5</v>
      </c>
      <c r="J76" s="3" t="s">
        <v>178</v>
      </c>
      <c r="K76" s="3" t="s">
        <v>178</v>
      </c>
      <c r="L76" s="3" t="s">
        <v>178</v>
      </c>
      <c r="M76" s="3">
        <v>5</v>
      </c>
      <c r="N76" s="3">
        <v>5</v>
      </c>
      <c r="O76" s="3">
        <v>4</v>
      </c>
      <c r="P76" s="3">
        <v>0</v>
      </c>
      <c r="Q76" s="3">
        <v>0</v>
      </c>
      <c r="R76" s="4">
        <v>0</v>
      </c>
    </row>
    <row r="77" spans="2:18" ht="16.5" thickTop="1" thickBot="1">
      <c r="B77" s="142"/>
      <c r="C77" s="5" t="s">
        <v>179</v>
      </c>
      <c r="D77" s="6">
        <v>0</v>
      </c>
      <c r="E77" s="6">
        <v>0</v>
      </c>
      <c r="F77" s="6">
        <v>0</v>
      </c>
      <c r="G77" s="6">
        <v>5</v>
      </c>
      <c r="H77" s="6">
        <v>5</v>
      </c>
      <c r="I77" s="6">
        <v>5</v>
      </c>
      <c r="J77" s="6" t="s">
        <v>178</v>
      </c>
      <c r="K77" s="6" t="s">
        <v>178</v>
      </c>
      <c r="L77" s="6" t="s">
        <v>178</v>
      </c>
      <c r="M77" s="6">
        <v>5</v>
      </c>
      <c r="N77" s="6">
        <v>5</v>
      </c>
      <c r="O77" s="6">
        <v>4</v>
      </c>
      <c r="P77" s="6">
        <v>0</v>
      </c>
      <c r="Q77" s="6">
        <v>0</v>
      </c>
      <c r="R77" s="7">
        <v>0</v>
      </c>
    </row>
    <row r="78" spans="2:18" ht="16.5" thickTop="1" thickBot="1">
      <c r="B78" s="142"/>
      <c r="C78" s="5" t="s">
        <v>180</v>
      </c>
      <c r="D78" s="6">
        <v>0</v>
      </c>
      <c r="E78" s="6">
        <v>0</v>
      </c>
      <c r="F78" s="6">
        <v>0</v>
      </c>
      <c r="G78" s="6">
        <v>5</v>
      </c>
      <c r="H78" s="6">
        <v>5</v>
      </c>
      <c r="I78" s="6">
        <v>5</v>
      </c>
      <c r="J78" s="6" t="s">
        <v>178</v>
      </c>
      <c r="K78" s="6" t="s">
        <v>178</v>
      </c>
      <c r="L78" s="6" t="s">
        <v>178</v>
      </c>
      <c r="M78" s="6">
        <v>5</v>
      </c>
      <c r="N78" s="6">
        <v>5</v>
      </c>
      <c r="O78" s="6">
        <v>4</v>
      </c>
      <c r="P78" s="6">
        <v>0</v>
      </c>
      <c r="Q78" s="6">
        <v>0</v>
      </c>
      <c r="R78" s="7">
        <v>0</v>
      </c>
    </row>
    <row r="79" spans="2:18" ht="16.5" thickTop="1" thickBot="1">
      <c r="B79" s="142"/>
      <c r="C79" s="5" t="s">
        <v>181</v>
      </c>
      <c r="D79" s="6">
        <v>0</v>
      </c>
      <c r="E79" s="6">
        <v>0</v>
      </c>
      <c r="F79" s="6">
        <v>0</v>
      </c>
      <c r="G79" s="6">
        <v>5</v>
      </c>
      <c r="H79" s="6">
        <v>5</v>
      </c>
      <c r="I79" s="6">
        <v>5</v>
      </c>
      <c r="J79" s="6" t="s">
        <v>178</v>
      </c>
      <c r="K79" s="6" t="s">
        <v>178</v>
      </c>
      <c r="L79" s="6" t="s">
        <v>178</v>
      </c>
      <c r="M79" s="6">
        <v>5</v>
      </c>
      <c r="N79" s="6">
        <v>5</v>
      </c>
      <c r="O79" s="6">
        <v>4</v>
      </c>
      <c r="P79" s="6">
        <v>0</v>
      </c>
      <c r="Q79" s="6">
        <v>0</v>
      </c>
      <c r="R79" s="7">
        <v>0</v>
      </c>
    </row>
    <row r="80" spans="2:18" ht="16.5" thickTop="1" thickBot="1">
      <c r="B80" s="142"/>
      <c r="C80" s="5" t="s">
        <v>182</v>
      </c>
      <c r="D80" s="6">
        <v>0</v>
      </c>
      <c r="E80" s="6">
        <v>0</v>
      </c>
      <c r="F80" s="6">
        <v>0</v>
      </c>
      <c r="G80" s="6">
        <v>5</v>
      </c>
      <c r="H80" s="6">
        <v>5</v>
      </c>
      <c r="I80" s="6">
        <v>5</v>
      </c>
      <c r="J80" s="6" t="s">
        <v>178</v>
      </c>
      <c r="K80" s="6" t="s">
        <v>178</v>
      </c>
      <c r="L80" s="6" t="s">
        <v>178</v>
      </c>
      <c r="M80" s="6">
        <v>5</v>
      </c>
      <c r="N80" s="6">
        <v>5</v>
      </c>
      <c r="O80" s="6">
        <v>4</v>
      </c>
      <c r="P80" s="6">
        <v>0</v>
      </c>
      <c r="Q80" s="6">
        <v>0</v>
      </c>
      <c r="R80" s="7">
        <v>0</v>
      </c>
    </row>
    <row r="81" spans="2:18" ht="16.5" thickTop="1" thickBot="1">
      <c r="B81" s="142"/>
      <c r="C81" s="5" t="s">
        <v>183</v>
      </c>
      <c r="D81" s="6">
        <v>0</v>
      </c>
      <c r="E81" s="6">
        <v>0</v>
      </c>
      <c r="F81" s="6">
        <v>0</v>
      </c>
      <c r="G81" s="6">
        <v>10</v>
      </c>
      <c r="H81" s="6">
        <v>5</v>
      </c>
      <c r="I81" s="6">
        <v>5</v>
      </c>
      <c r="J81" s="6" t="s">
        <v>178</v>
      </c>
      <c r="K81" s="6" t="s">
        <v>178</v>
      </c>
      <c r="L81" s="6" t="s">
        <v>178</v>
      </c>
      <c r="M81" s="6">
        <v>8</v>
      </c>
      <c r="N81" s="6">
        <v>8</v>
      </c>
      <c r="O81" s="6">
        <v>7</v>
      </c>
      <c r="P81" s="6">
        <v>0</v>
      </c>
      <c r="Q81" s="6">
        <v>0</v>
      </c>
      <c r="R81" s="7">
        <v>0</v>
      </c>
    </row>
    <row r="82" spans="2:18" ht="16.5" thickTop="1" thickBot="1">
      <c r="B82" s="142"/>
      <c r="C82" s="5" t="s">
        <v>185</v>
      </c>
      <c r="D82" s="6">
        <v>10</v>
      </c>
      <c r="E82" s="6">
        <v>10</v>
      </c>
      <c r="F82" s="6">
        <v>5</v>
      </c>
      <c r="G82" s="6">
        <v>10</v>
      </c>
      <c r="H82" s="6">
        <v>10</v>
      </c>
      <c r="I82" s="6">
        <v>5</v>
      </c>
      <c r="J82" s="6" t="s">
        <v>184</v>
      </c>
      <c r="K82" s="6" t="s">
        <v>184</v>
      </c>
      <c r="L82" s="6" t="s">
        <v>178</v>
      </c>
      <c r="M82" s="6">
        <v>7</v>
      </c>
      <c r="N82" s="6">
        <v>7</v>
      </c>
      <c r="O82" s="6">
        <v>4</v>
      </c>
      <c r="P82" s="6">
        <v>0</v>
      </c>
      <c r="Q82" s="6">
        <v>0</v>
      </c>
      <c r="R82" s="7">
        <v>0</v>
      </c>
    </row>
    <row r="83" spans="2:18" ht="16.5" thickTop="1" thickBot="1">
      <c r="B83" s="142"/>
      <c r="C83" s="5" t="s">
        <v>186</v>
      </c>
      <c r="D83" s="6">
        <v>20</v>
      </c>
      <c r="E83" s="6">
        <v>10</v>
      </c>
      <c r="F83" s="6">
        <v>5</v>
      </c>
      <c r="G83" s="6">
        <v>30</v>
      </c>
      <c r="H83" s="6">
        <v>10</v>
      </c>
      <c r="I83" s="6">
        <v>5</v>
      </c>
      <c r="J83" s="6" t="s">
        <v>184</v>
      </c>
      <c r="K83" s="6" t="s">
        <v>184</v>
      </c>
      <c r="L83" s="6" t="s">
        <v>178</v>
      </c>
      <c r="M83" s="6">
        <v>19</v>
      </c>
      <c r="N83" s="6">
        <v>11</v>
      </c>
      <c r="O83" s="6">
        <v>4</v>
      </c>
      <c r="P83" s="6">
        <v>35</v>
      </c>
      <c r="Q83" s="6">
        <v>16</v>
      </c>
      <c r="R83" s="7">
        <v>0</v>
      </c>
    </row>
    <row r="84" spans="2:18" ht="16.5" thickTop="1" thickBot="1">
      <c r="B84" s="142"/>
      <c r="C84" s="5" t="s">
        <v>187</v>
      </c>
      <c r="D84" s="6">
        <v>95</v>
      </c>
      <c r="E84" s="6">
        <v>30</v>
      </c>
      <c r="F84" s="6">
        <v>5</v>
      </c>
      <c r="G84" s="6">
        <v>90</v>
      </c>
      <c r="H84" s="6">
        <v>30</v>
      </c>
      <c r="I84" s="6">
        <v>5</v>
      </c>
      <c r="J84" s="6" t="s">
        <v>184</v>
      </c>
      <c r="K84" s="6" t="s">
        <v>184</v>
      </c>
      <c r="L84" s="6" t="s">
        <v>178</v>
      </c>
      <c r="M84" s="6">
        <v>35</v>
      </c>
      <c r="N84" s="6">
        <v>15</v>
      </c>
      <c r="O84" s="6">
        <v>4</v>
      </c>
      <c r="P84" s="6">
        <v>69</v>
      </c>
      <c r="Q84" s="6">
        <v>14</v>
      </c>
      <c r="R84" s="7">
        <v>0</v>
      </c>
    </row>
    <row r="85" spans="2:18" ht="16.5" thickTop="1" thickBot="1">
      <c r="B85" s="142"/>
      <c r="C85" s="5" t="s">
        <v>188</v>
      </c>
      <c r="D85" s="6">
        <v>95</v>
      </c>
      <c r="E85" s="6">
        <v>30</v>
      </c>
      <c r="F85" s="6">
        <v>5</v>
      </c>
      <c r="G85" s="6">
        <v>90</v>
      </c>
      <c r="H85" s="6">
        <v>30</v>
      </c>
      <c r="I85" s="6">
        <v>5</v>
      </c>
      <c r="J85" s="6" t="s">
        <v>184</v>
      </c>
      <c r="K85" s="6" t="s">
        <v>184</v>
      </c>
      <c r="L85" s="6" t="s">
        <v>178</v>
      </c>
      <c r="M85" s="6">
        <v>38</v>
      </c>
      <c r="N85" s="6">
        <v>21</v>
      </c>
      <c r="O85" s="6">
        <v>4</v>
      </c>
      <c r="P85" s="6">
        <v>43</v>
      </c>
      <c r="Q85" s="6">
        <v>21</v>
      </c>
      <c r="R85" s="7">
        <v>0</v>
      </c>
    </row>
    <row r="86" spans="2:18" ht="16.5" thickTop="1" thickBot="1">
      <c r="B86" s="142"/>
      <c r="C86" s="5" t="s">
        <v>189</v>
      </c>
      <c r="D86" s="6">
        <v>95</v>
      </c>
      <c r="E86" s="6">
        <v>30</v>
      </c>
      <c r="F86" s="6">
        <v>5</v>
      </c>
      <c r="G86" s="6">
        <v>90</v>
      </c>
      <c r="H86" s="6">
        <v>30</v>
      </c>
      <c r="I86" s="6">
        <v>5</v>
      </c>
      <c r="J86" s="6" t="s">
        <v>184</v>
      </c>
      <c r="K86" s="6" t="s">
        <v>184</v>
      </c>
      <c r="L86" s="6" t="s">
        <v>178</v>
      </c>
      <c r="M86" s="6">
        <v>39</v>
      </c>
      <c r="N86" s="6">
        <v>19</v>
      </c>
      <c r="O86" s="6">
        <v>4</v>
      </c>
      <c r="P86" s="6">
        <v>37</v>
      </c>
      <c r="Q86" s="6">
        <v>18</v>
      </c>
      <c r="R86" s="7">
        <v>0</v>
      </c>
    </row>
    <row r="87" spans="2:18" ht="16.5" thickTop="1" thickBot="1">
      <c r="B87" s="142"/>
      <c r="C87" s="5" t="s">
        <v>190</v>
      </c>
      <c r="D87" s="6">
        <v>95</v>
      </c>
      <c r="E87" s="6">
        <v>30</v>
      </c>
      <c r="F87" s="6">
        <v>5</v>
      </c>
      <c r="G87" s="6">
        <v>90</v>
      </c>
      <c r="H87" s="6">
        <v>30</v>
      </c>
      <c r="I87" s="6">
        <v>5</v>
      </c>
      <c r="J87" s="6" t="s">
        <v>184</v>
      </c>
      <c r="K87" s="6" t="s">
        <v>184</v>
      </c>
      <c r="L87" s="6" t="s">
        <v>178</v>
      </c>
      <c r="M87" s="6">
        <v>47</v>
      </c>
      <c r="N87" s="6">
        <v>23</v>
      </c>
      <c r="O87" s="6">
        <v>6</v>
      </c>
      <c r="P87" s="6">
        <v>43</v>
      </c>
      <c r="Q87" s="6">
        <v>25</v>
      </c>
      <c r="R87" s="7">
        <v>0</v>
      </c>
    </row>
    <row r="88" spans="2:18" ht="16.5" thickTop="1" thickBot="1">
      <c r="B88" s="142"/>
      <c r="C88" s="5" t="s">
        <v>191</v>
      </c>
      <c r="D88" s="6">
        <v>50</v>
      </c>
      <c r="E88" s="6">
        <v>10</v>
      </c>
      <c r="F88" s="6">
        <v>5</v>
      </c>
      <c r="G88" s="6">
        <v>80</v>
      </c>
      <c r="H88" s="6">
        <v>15</v>
      </c>
      <c r="I88" s="6">
        <v>5</v>
      </c>
      <c r="J88" s="6" t="s">
        <v>184</v>
      </c>
      <c r="K88" s="6" t="s">
        <v>184</v>
      </c>
      <c r="L88" s="6" t="s">
        <v>178</v>
      </c>
      <c r="M88" s="6">
        <v>57</v>
      </c>
      <c r="N88" s="6">
        <v>20</v>
      </c>
      <c r="O88" s="6">
        <v>6</v>
      </c>
      <c r="P88" s="6">
        <v>58</v>
      </c>
      <c r="Q88" s="6">
        <v>21</v>
      </c>
      <c r="R88" s="7">
        <v>0</v>
      </c>
    </row>
    <row r="89" spans="2:18" ht="16.5" thickTop="1" thickBot="1">
      <c r="B89" s="142"/>
      <c r="C89" s="5" t="s">
        <v>192</v>
      </c>
      <c r="D89" s="6">
        <v>95</v>
      </c>
      <c r="E89" s="6">
        <v>10</v>
      </c>
      <c r="F89" s="6">
        <v>5</v>
      </c>
      <c r="G89" s="6">
        <v>90</v>
      </c>
      <c r="H89" s="6">
        <v>15</v>
      </c>
      <c r="I89" s="6">
        <v>5</v>
      </c>
      <c r="J89" s="6" t="s">
        <v>184</v>
      </c>
      <c r="K89" s="6" t="s">
        <v>184</v>
      </c>
      <c r="L89" s="6" t="s">
        <v>178</v>
      </c>
      <c r="M89" s="6">
        <v>54</v>
      </c>
      <c r="N89" s="6">
        <v>19</v>
      </c>
      <c r="O89" s="6">
        <v>9</v>
      </c>
      <c r="P89" s="6">
        <v>48</v>
      </c>
      <c r="Q89" s="6">
        <v>13</v>
      </c>
      <c r="R89" s="7">
        <v>0</v>
      </c>
    </row>
    <row r="90" spans="2:18" ht="16.5" thickTop="1" thickBot="1">
      <c r="B90" s="142"/>
      <c r="C90" s="5" t="s">
        <v>193</v>
      </c>
      <c r="D90" s="6">
        <v>95</v>
      </c>
      <c r="E90" s="6">
        <v>10</v>
      </c>
      <c r="F90" s="6">
        <v>5</v>
      </c>
      <c r="G90" s="6">
        <v>90</v>
      </c>
      <c r="H90" s="6">
        <v>15</v>
      </c>
      <c r="I90" s="6">
        <v>5</v>
      </c>
      <c r="J90" s="6" t="s">
        <v>184</v>
      </c>
      <c r="K90" s="6" t="s">
        <v>184</v>
      </c>
      <c r="L90" s="6" t="s">
        <v>178</v>
      </c>
      <c r="M90" s="6">
        <v>34</v>
      </c>
      <c r="N90" s="6">
        <v>15</v>
      </c>
      <c r="O90" s="6">
        <v>6</v>
      </c>
      <c r="P90" s="6">
        <v>37</v>
      </c>
      <c r="Q90" s="6">
        <v>8</v>
      </c>
      <c r="R90" s="7">
        <v>0</v>
      </c>
    </row>
    <row r="91" spans="2:18" ht="16.5" thickTop="1" thickBot="1">
      <c r="B91" s="142"/>
      <c r="C91" s="5" t="s">
        <v>194</v>
      </c>
      <c r="D91" s="6">
        <v>95</v>
      </c>
      <c r="E91" s="6">
        <v>10</v>
      </c>
      <c r="F91" s="6">
        <v>5</v>
      </c>
      <c r="G91" s="6">
        <v>90</v>
      </c>
      <c r="H91" s="6">
        <v>15</v>
      </c>
      <c r="I91" s="6">
        <v>5</v>
      </c>
      <c r="J91" s="6" t="s">
        <v>184</v>
      </c>
      <c r="K91" s="6" t="s">
        <v>184</v>
      </c>
      <c r="L91" s="6" t="s">
        <v>178</v>
      </c>
      <c r="M91" s="6">
        <v>33</v>
      </c>
      <c r="N91" s="6">
        <v>12</v>
      </c>
      <c r="O91" s="6">
        <v>4</v>
      </c>
      <c r="P91" s="6">
        <v>37</v>
      </c>
      <c r="Q91" s="6">
        <v>4</v>
      </c>
      <c r="R91" s="7">
        <v>0</v>
      </c>
    </row>
    <row r="92" spans="2:18" ht="16.5" thickTop="1" thickBot="1">
      <c r="B92" s="142"/>
      <c r="C92" s="5" t="s">
        <v>195</v>
      </c>
      <c r="D92" s="6">
        <v>95</v>
      </c>
      <c r="E92" s="6">
        <v>10</v>
      </c>
      <c r="F92" s="6">
        <v>5</v>
      </c>
      <c r="G92" s="6">
        <v>90</v>
      </c>
      <c r="H92" s="6">
        <v>15</v>
      </c>
      <c r="I92" s="6">
        <v>5</v>
      </c>
      <c r="J92" s="6" t="s">
        <v>184</v>
      </c>
      <c r="K92" s="6" t="s">
        <v>184</v>
      </c>
      <c r="L92" s="6" t="s">
        <v>178</v>
      </c>
      <c r="M92" s="6">
        <v>44</v>
      </c>
      <c r="N92" s="6">
        <v>14</v>
      </c>
      <c r="O92" s="6">
        <v>4</v>
      </c>
      <c r="P92" s="6">
        <v>46</v>
      </c>
      <c r="Q92" s="6">
        <v>5</v>
      </c>
      <c r="R92" s="7">
        <v>0</v>
      </c>
    </row>
    <row r="93" spans="2:18" ht="16.5" thickTop="1" thickBot="1">
      <c r="B93" s="142"/>
      <c r="C93" s="5" t="s">
        <v>196</v>
      </c>
      <c r="D93" s="6">
        <v>30</v>
      </c>
      <c r="E93" s="6">
        <v>5</v>
      </c>
      <c r="F93" s="6">
        <v>5</v>
      </c>
      <c r="G93" s="6">
        <v>50</v>
      </c>
      <c r="H93" s="6">
        <v>5</v>
      </c>
      <c r="I93" s="6">
        <v>5</v>
      </c>
      <c r="J93" s="6" t="s">
        <v>184</v>
      </c>
      <c r="K93" s="6" t="s">
        <v>184</v>
      </c>
      <c r="L93" s="6" t="s">
        <v>178</v>
      </c>
      <c r="M93" s="6">
        <v>26</v>
      </c>
      <c r="N93" s="6">
        <v>7</v>
      </c>
      <c r="O93" s="6">
        <v>4</v>
      </c>
      <c r="P93" s="6">
        <v>62</v>
      </c>
      <c r="Q93" s="6">
        <v>6</v>
      </c>
      <c r="R93" s="7">
        <v>0</v>
      </c>
    </row>
    <row r="94" spans="2:18" ht="16.5" thickTop="1" thickBot="1">
      <c r="B94" s="142"/>
      <c r="C94" s="5" t="s">
        <v>197</v>
      </c>
      <c r="D94" s="6">
        <v>10</v>
      </c>
      <c r="E94" s="6">
        <v>5</v>
      </c>
      <c r="F94" s="6">
        <v>0</v>
      </c>
      <c r="G94" s="6">
        <v>30</v>
      </c>
      <c r="H94" s="6">
        <v>5</v>
      </c>
      <c r="I94" s="6">
        <v>5</v>
      </c>
      <c r="J94" s="6" t="s">
        <v>184</v>
      </c>
      <c r="K94" s="6" t="s">
        <v>178</v>
      </c>
      <c r="L94" s="6" t="s">
        <v>178</v>
      </c>
      <c r="M94" s="6">
        <v>21</v>
      </c>
      <c r="N94" s="6">
        <v>7</v>
      </c>
      <c r="O94" s="6">
        <v>4</v>
      </c>
      <c r="P94" s="6">
        <v>20</v>
      </c>
      <c r="Q94" s="6">
        <v>0</v>
      </c>
      <c r="R94" s="7">
        <v>0</v>
      </c>
    </row>
    <row r="95" spans="2:18" ht="16.5" thickTop="1" thickBot="1">
      <c r="B95" s="142"/>
      <c r="C95" s="5" t="s">
        <v>198</v>
      </c>
      <c r="D95" s="6">
        <v>10</v>
      </c>
      <c r="E95" s="6">
        <v>0</v>
      </c>
      <c r="F95" s="6">
        <v>0</v>
      </c>
      <c r="G95" s="6">
        <v>30</v>
      </c>
      <c r="H95" s="6">
        <v>5</v>
      </c>
      <c r="I95" s="6">
        <v>5</v>
      </c>
      <c r="J95" s="6" t="s">
        <v>184</v>
      </c>
      <c r="K95" s="6" t="s">
        <v>178</v>
      </c>
      <c r="L95" s="6" t="s">
        <v>178</v>
      </c>
      <c r="M95" s="6">
        <v>15</v>
      </c>
      <c r="N95" s="6">
        <v>7</v>
      </c>
      <c r="O95" s="6">
        <v>4</v>
      </c>
      <c r="P95" s="6">
        <v>12</v>
      </c>
      <c r="Q95" s="6">
        <v>0</v>
      </c>
      <c r="R95" s="7">
        <v>0</v>
      </c>
    </row>
    <row r="96" spans="2:18" ht="16.5" thickTop="1" thickBot="1">
      <c r="B96" s="142"/>
      <c r="C96" s="5" t="s">
        <v>199</v>
      </c>
      <c r="D96" s="6">
        <v>10</v>
      </c>
      <c r="E96" s="6">
        <v>0</v>
      </c>
      <c r="F96" s="6">
        <v>0</v>
      </c>
      <c r="G96" s="6">
        <v>20</v>
      </c>
      <c r="H96" s="6">
        <v>5</v>
      </c>
      <c r="I96" s="6">
        <v>5</v>
      </c>
      <c r="J96" s="6" t="s">
        <v>184</v>
      </c>
      <c r="K96" s="6" t="s">
        <v>178</v>
      </c>
      <c r="L96" s="6" t="s">
        <v>178</v>
      </c>
      <c r="M96" s="6">
        <v>17</v>
      </c>
      <c r="N96" s="6">
        <v>7</v>
      </c>
      <c r="O96" s="6">
        <v>4</v>
      </c>
      <c r="P96" s="6">
        <v>4</v>
      </c>
      <c r="Q96" s="6">
        <v>0</v>
      </c>
      <c r="R96" s="7">
        <v>0</v>
      </c>
    </row>
    <row r="97" spans="2:18" ht="16.5" thickTop="1" thickBot="1">
      <c r="B97" s="142"/>
      <c r="C97" s="5" t="s">
        <v>200</v>
      </c>
      <c r="D97" s="6">
        <v>10</v>
      </c>
      <c r="E97" s="6">
        <v>0</v>
      </c>
      <c r="F97" s="6">
        <v>0</v>
      </c>
      <c r="G97" s="6">
        <v>20</v>
      </c>
      <c r="H97" s="6">
        <v>5</v>
      </c>
      <c r="I97" s="6">
        <v>5</v>
      </c>
      <c r="J97" s="6" t="s">
        <v>184</v>
      </c>
      <c r="K97" s="6" t="s">
        <v>178</v>
      </c>
      <c r="L97" s="6" t="s">
        <v>178</v>
      </c>
      <c r="M97" s="6">
        <v>8</v>
      </c>
      <c r="N97" s="6">
        <v>9</v>
      </c>
      <c r="O97" s="6">
        <v>7</v>
      </c>
      <c r="P97" s="6">
        <v>4</v>
      </c>
      <c r="Q97" s="6">
        <v>0</v>
      </c>
      <c r="R97" s="7">
        <v>0</v>
      </c>
    </row>
    <row r="98" spans="2:18" ht="16.5" thickTop="1" thickBot="1">
      <c r="B98" s="142"/>
      <c r="C98" s="5" t="s">
        <v>201</v>
      </c>
      <c r="D98" s="6">
        <v>5</v>
      </c>
      <c r="E98" s="6">
        <v>0</v>
      </c>
      <c r="F98" s="6">
        <v>0</v>
      </c>
      <c r="G98" s="6">
        <v>10</v>
      </c>
      <c r="H98" s="6">
        <v>5</v>
      </c>
      <c r="I98" s="6">
        <v>5</v>
      </c>
      <c r="J98" s="6" t="s">
        <v>178</v>
      </c>
      <c r="K98" s="6" t="s">
        <v>178</v>
      </c>
      <c r="L98" s="6" t="s">
        <v>178</v>
      </c>
      <c r="M98" s="6">
        <v>5</v>
      </c>
      <c r="N98" s="6">
        <v>5</v>
      </c>
      <c r="O98" s="6">
        <v>4</v>
      </c>
      <c r="P98" s="6">
        <v>0</v>
      </c>
      <c r="Q98" s="6">
        <v>0</v>
      </c>
      <c r="R98" s="7">
        <v>0</v>
      </c>
    </row>
    <row r="99" spans="2:18" ht="16.5" thickTop="1" thickBot="1">
      <c r="B99" s="142"/>
      <c r="C99" s="8" t="s">
        <v>202</v>
      </c>
      <c r="D99" s="9">
        <v>5</v>
      </c>
      <c r="E99" s="9">
        <v>0</v>
      </c>
      <c r="F99" s="9">
        <v>0</v>
      </c>
      <c r="G99" s="9">
        <v>5</v>
      </c>
      <c r="H99" s="9">
        <v>5</v>
      </c>
      <c r="I99" s="9">
        <v>5</v>
      </c>
      <c r="J99" s="9" t="s">
        <v>178</v>
      </c>
      <c r="K99" s="9" t="s">
        <v>178</v>
      </c>
      <c r="L99" s="9" t="s">
        <v>178</v>
      </c>
      <c r="M99" s="9">
        <v>5</v>
      </c>
      <c r="N99" s="9">
        <v>5</v>
      </c>
      <c r="O99" s="9">
        <v>4</v>
      </c>
      <c r="P99" s="9">
        <v>0</v>
      </c>
      <c r="Q99" s="9">
        <v>0</v>
      </c>
      <c r="R99" s="10">
        <v>0</v>
      </c>
    </row>
    <row r="100" spans="2:18" ht="16.5" thickTop="1" thickBot="1">
      <c r="B100" s="142" t="s">
        <v>216</v>
      </c>
      <c r="C100" s="2" t="s">
        <v>177</v>
      </c>
      <c r="D100" s="3">
        <v>0</v>
      </c>
      <c r="E100" s="3">
        <v>0</v>
      </c>
      <c r="F100" s="3">
        <v>0</v>
      </c>
      <c r="G100" s="3">
        <v>5</v>
      </c>
      <c r="H100" s="3">
        <v>5</v>
      </c>
      <c r="I100" s="3">
        <v>5</v>
      </c>
      <c r="J100" s="3" t="s">
        <v>178</v>
      </c>
      <c r="K100" s="3" t="s">
        <v>178</v>
      </c>
      <c r="L100" s="3" t="s">
        <v>178</v>
      </c>
      <c r="M100" s="3">
        <v>5</v>
      </c>
      <c r="N100" s="3">
        <v>5</v>
      </c>
      <c r="O100" s="3">
        <v>4</v>
      </c>
      <c r="P100" s="3">
        <v>0</v>
      </c>
      <c r="Q100" s="3">
        <v>0</v>
      </c>
      <c r="R100" s="4">
        <v>0</v>
      </c>
    </row>
    <row r="101" spans="2:18" ht="16.5" thickTop="1" thickBot="1">
      <c r="B101" s="142"/>
      <c r="C101" s="5" t="s">
        <v>179</v>
      </c>
      <c r="D101" s="6">
        <v>0</v>
      </c>
      <c r="E101" s="6">
        <v>0</v>
      </c>
      <c r="F101" s="6">
        <v>0</v>
      </c>
      <c r="G101" s="6">
        <v>5</v>
      </c>
      <c r="H101" s="6">
        <v>5</v>
      </c>
      <c r="I101" s="6">
        <v>5</v>
      </c>
      <c r="J101" s="6" t="s">
        <v>178</v>
      </c>
      <c r="K101" s="6" t="s">
        <v>178</v>
      </c>
      <c r="L101" s="6" t="s">
        <v>178</v>
      </c>
      <c r="M101" s="6">
        <v>5</v>
      </c>
      <c r="N101" s="6">
        <v>5</v>
      </c>
      <c r="O101" s="6">
        <v>4</v>
      </c>
      <c r="P101" s="6">
        <v>0</v>
      </c>
      <c r="Q101" s="6">
        <v>0</v>
      </c>
      <c r="R101" s="7">
        <v>0</v>
      </c>
    </row>
    <row r="102" spans="2:18" ht="16.5" thickTop="1" thickBot="1">
      <c r="B102" s="142"/>
      <c r="C102" s="5" t="s">
        <v>180</v>
      </c>
      <c r="D102" s="6">
        <v>0</v>
      </c>
      <c r="E102" s="6">
        <v>0</v>
      </c>
      <c r="F102" s="6">
        <v>0</v>
      </c>
      <c r="G102" s="6">
        <v>5</v>
      </c>
      <c r="H102" s="6">
        <v>5</v>
      </c>
      <c r="I102" s="6">
        <v>5</v>
      </c>
      <c r="J102" s="6" t="s">
        <v>178</v>
      </c>
      <c r="K102" s="6" t="s">
        <v>178</v>
      </c>
      <c r="L102" s="6" t="s">
        <v>178</v>
      </c>
      <c r="M102" s="6">
        <v>5</v>
      </c>
      <c r="N102" s="6">
        <v>5</v>
      </c>
      <c r="O102" s="6">
        <v>4</v>
      </c>
      <c r="P102" s="6">
        <v>0</v>
      </c>
      <c r="Q102" s="6">
        <v>0</v>
      </c>
      <c r="R102" s="7">
        <v>0</v>
      </c>
    </row>
    <row r="103" spans="2:18" ht="16.5" thickTop="1" thickBot="1">
      <c r="B103" s="142"/>
      <c r="C103" s="5" t="s">
        <v>181</v>
      </c>
      <c r="D103" s="6">
        <v>0</v>
      </c>
      <c r="E103" s="6">
        <v>0</v>
      </c>
      <c r="F103" s="6">
        <v>0</v>
      </c>
      <c r="G103" s="6">
        <v>5</v>
      </c>
      <c r="H103" s="6">
        <v>5</v>
      </c>
      <c r="I103" s="6">
        <v>5</v>
      </c>
      <c r="J103" s="6" t="s">
        <v>178</v>
      </c>
      <c r="K103" s="6" t="s">
        <v>178</v>
      </c>
      <c r="L103" s="6" t="s">
        <v>178</v>
      </c>
      <c r="M103" s="6">
        <v>5</v>
      </c>
      <c r="N103" s="6">
        <v>5</v>
      </c>
      <c r="O103" s="6">
        <v>4</v>
      </c>
      <c r="P103" s="6">
        <v>0</v>
      </c>
      <c r="Q103" s="6">
        <v>0</v>
      </c>
      <c r="R103" s="7">
        <v>0</v>
      </c>
    </row>
    <row r="104" spans="2:18" ht="16.5" thickTop="1" thickBot="1">
      <c r="B104" s="142"/>
      <c r="C104" s="5" t="s">
        <v>182</v>
      </c>
      <c r="D104" s="6">
        <v>0</v>
      </c>
      <c r="E104" s="6">
        <v>0</v>
      </c>
      <c r="F104" s="6">
        <v>0</v>
      </c>
      <c r="G104" s="6">
        <v>5</v>
      </c>
      <c r="H104" s="6">
        <v>5</v>
      </c>
      <c r="I104" s="6">
        <v>5</v>
      </c>
      <c r="J104" s="6" t="s">
        <v>178</v>
      </c>
      <c r="K104" s="6" t="s">
        <v>178</v>
      </c>
      <c r="L104" s="6" t="s">
        <v>178</v>
      </c>
      <c r="M104" s="6">
        <v>5</v>
      </c>
      <c r="N104" s="6">
        <v>5</v>
      </c>
      <c r="O104" s="6">
        <v>4</v>
      </c>
      <c r="P104" s="6">
        <v>0</v>
      </c>
      <c r="Q104" s="6">
        <v>0</v>
      </c>
      <c r="R104" s="7">
        <v>0</v>
      </c>
    </row>
    <row r="105" spans="2:18" ht="16.5" thickTop="1" thickBot="1">
      <c r="B105" s="142"/>
      <c r="C105" s="5" t="s">
        <v>183</v>
      </c>
      <c r="D105" s="6">
        <v>0</v>
      </c>
      <c r="E105" s="6">
        <v>0</v>
      </c>
      <c r="F105" s="6">
        <v>0</v>
      </c>
      <c r="G105" s="6">
        <v>10</v>
      </c>
      <c r="H105" s="6">
        <v>5</v>
      </c>
      <c r="I105" s="6">
        <v>5</v>
      </c>
      <c r="J105" s="6" t="s">
        <v>178</v>
      </c>
      <c r="K105" s="6" t="s">
        <v>178</v>
      </c>
      <c r="L105" s="6" t="s">
        <v>178</v>
      </c>
      <c r="M105" s="6">
        <v>8</v>
      </c>
      <c r="N105" s="6">
        <v>8</v>
      </c>
      <c r="O105" s="6">
        <v>7</v>
      </c>
      <c r="P105" s="6">
        <v>0</v>
      </c>
      <c r="Q105" s="6">
        <v>0</v>
      </c>
      <c r="R105" s="7">
        <v>0</v>
      </c>
    </row>
    <row r="106" spans="2:18" ht="16.5" thickTop="1" thickBot="1">
      <c r="B106" s="142"/>
      <c r="C106" s="5" t="s">
        <v>185</v>
      </c>
      <c r="D106" s="6">
        <v>10</v>
      </c>
      <c r="E106" s="6">
        <v>10</v>
      </c>
      <c r="F106" s="6">
        <v>5</v>
      </c>
      <c r="G106" s="6">
        <v>10</v>
      </c>
      <c r="H106" s="6">
        <v>10</v>
      </c>
      <c r="I106" s="6">
        <v>5</v>
      </c>
      <c r="J106" s="6" t="s">
        <v>184</v>
      </c>
      <c r="K106" s="6" t="s">
        <v>184</v>
      </c>
      <c r="L106" s="6" t="s">
        <v>178</v>
      </c>
      <c r="M106" s="6">
        <v>7</v>
      </c>
      <c r="N106" s="6">
        <v>7</v>
      </c>
      <c r="O106" s="6">
        <v>4</v>
      </c>
      <c r="P106" s="6">
        <v>0</v>
      </c>
      <c r="Q106" s="6">
        <v>0</v>
      </c>
      <c r="R106" s="7">
        <v>0</v>
      </c>
    </row>
    <row r="107" spans="2:18" ht="16.5" thickTop="1" thickBot="1">
      <c r="B107" s="142"/>
      <c r="C107" s="5" t="s">
        <v>186</v>
      </c>
      <c r="D107" s="6">
        <v>20</v>
      </c>
      <c r="E107" s="6">
        <v>10</v>
      </c>
      <c r="F107" s="6">
        <v>5</v>
      </c>
      <c r="G107" s="6">
        <v>30</v>
      </c>
      <c r="H107" s="6">
        <v>10</v>
      </c>
      <c r="I107" s="6">
        <v>5</v>
      </c>
      <c r="J107" s="6" t="s">
        <v>184</v>
      </c>
      <c r="K107" s="6" t="s">
        <v>184</v>
      </c>
      <c r="L107" s="6" t="s">
        <v>178</v>
      </c>
      <c r="M107" s="6">
        <v>19</v>
      </c>
      <c r="N107" s="6">
        <v>11</v>
      </c>
      <c r="O107" s="6">
        <v>4</v>
      </c>
      <c r="P107" s="6">
        <v>35</v>
      </c>
      <c r="Q107" s="6">
        <v>16</v>
      </c>
      <c r="R107" s="7">
        <v>0</v>
      </c>
    </row>
    <row r="108" spans="2:18" ht="16.5" thickTop="1" thickBot="1">
      <c r="B108" s="142"/>
      <c r="C108" s="5" t="s">
        <v>187</v>
      </c>
      <c r="D108" s="6">
        <v>95</v>
      </c>
      <c r="E108" s="6">
        <v>30</v>
      </c>
      <c r="F108" s="6">
        <v>5</v>
      </c>
      <c r="G108" s="6">
        <v>90</v>
      </c>
      <c r="H108" s="6">
        <v>30</v>
      </c>
      <c r="I108" s="6">
        <v>5</v>
      </c>
      <c r="J108" s="6" t="s">
        <v>184</v>
      </c>
      <c r="K108" s="6" t="s">
        <v>184</v>
      </c>
      <c r="L108" s="6" t="s">
        <v>178</v>
      </c>
      <c r="M108" s="6">
        <v>35</v>
      </c>
      <c r="N108" s="6">
        <v>15</v>
      </c>
      <c r="O108" s="6">
        <v>4</v>
      </c>
      <c r="P108" s="6">
        <v>69</v>
      </c>
      <c r="Q108" s="6">
        <v>14</v>
      </c>
      <c r="R108" s="7">
        <v>0</v>
      </c>
    </row>
    <row r="109" spans="2:18" ht="16.5" thickTop="1" thickBot="1">
      <c r="B109" s="142"/>
      <c r="C109" s="5" t="s">
        <v>188</v>
      </c>
      <c r="D109" s="6">
        <v>95</v>
      </c>
      <c r="E109" s="6">
        <v>30</v>
      </c>
      <c r="F109" s="6">
        <v>5</v>
      </c>
      <c r="G109" s="6">
        <v>90</v>
      </c>
      <c r="H109" s="6">
        <v>30</v>
      </c>
      <c r="I109" s="6">
        <v>5</v>
      </c>
      <c r="J109" s="6" t="s">
        <v>184</v>
      </c>
      <c r="K109" s="6" t="s">
        <v>184</v>
      </c>
      <c r="L109" s="6" t="s">
        <v>178</v>
      </c>
      <c r="M109" s="6">
        <v>38</v>
      </c>
      <c r="N109" s="6">
        <v>21</v>
      </c>
      <c r="O109" s="6">
        <v>4</v>
      </c>
      <c r="P109" s="6">
        <v>43</v>
      </c>
      <c r="Q109" s="6">
        <v>21</v>
      </c>
      <c r="R109" s="7">
        <v>0</v>
      </c>
    </row>
    <row r="110" spans="2:18" ht="16.5" thickTop="1" thickBot="1">
      <c r="B110" s="142"/>
      <c r="C110" s="5" t="s">
        <v>189</v>
      </c>
      <c r="D110" s="6">
        <v>95</v>
      </c>
      <c r="E110" s="6">
        <v>30</v>
      </c>
      <c r="F110" s="6">
        <v>5</v>
      </c>
      <c r="G110" s="6">
        <v>90</v>
      </c>
      <c r="H110" s="6">
        <v>30</v>
      </c>
      <c r="I110" s="6">
        <v>5</v>
      </c>
      <c r="J110" s="6" t="s">
        <v>184</v>
      </c>
      <c r="K110" s="6" t="s">
        <v>184</v>
      </c>
      <c r="L110" s="6" t="s">
        <v>178</v>
      </c>
      <c r="M110" s="6">
        <v>39</v>
      </c>
      <c r="N110" s="6">
        <v>19</v>
      </c>
      <c r="O110" s="6">
        <v>4</v>
      </c>
      <c r="P110" s="6">
        <v>37</v>
      </c>
      <c r="Q110" s="6">
        <v>18</v>
      </c>
      <c r="R110" s="7">
        <v>0</v>
      </c>
    </row>
    <row r="111" spans="2:18" ht="16.5" thickTop="1" thickBot="1">
      <c r="B111" s="142"/>
      <c r="C111" s="5" t="s">
        <v>190</v>
      </c>
      <c r="D111" s="6">
        <v>95</v>
      </c>
      <c r="E111" s="6">
        <v>30</v>
      </c>
      <c r="F111" s="6">
        <v>5</v>
      </c>
      <c r="G111" s="6">
        <v>90</v>
      </c>
      <c r="H111" s="6">
        <v>30</v>
      </c>
      <c r="I111" s="6">
        <v>5</v>
      </c>
      <c r="J111" s="6" t="s">
        <v>184</v>
      </c>
      <c r="K111" s="6" t="s">
        <v>184</v>
      </c>
      <c r="L111" s="6" t="s">
        <v>178</v>
      </c>
      <c r="M111" s="6">
        <v>47</v>
      </c>
      <c r="N111" s="6">
        <v>23</v>
      </c>
      <c r="O111" s="6">
        <v>6</v>
      </c>
      <c r="P111" s="6">
        <v>43</v>
      </c>
      <c r="Q111" s="6">
        <v>25</v>
      </c>
      <c r="R111" s="7">
        <v>0</v>
      </c>
    </row>
    <row r="112" spans="2:18" ht="16.5" thickTop="1" thickBot="1">
      <c r="B112" s="142"/>
      <c r="C112" s="5" t="s">
        <v>191</v>
      </c>
      <c r="D112" s="6">
        <v>50</v>
      </c>
      <c r="E112" s="6">
        <v>10</v>
      </c>
      <c r="F112" s="6">
        <v>5</v>
      </c>
      <c r="G112" s="6">
        <v>80</v>
      </c>
      <c r="H112" s="6">
        <v>15</v>
      </c>
      <c r="I112" s="6">
        <v>5</v>
      </c>
      <c r="J112" s="6" t="s">
        <v>184</v>
      </c>
      <c r="K112" s="6" t="s">
        <v>184</v>
      </c>
      <c r="L112" s="6" t="s">
        <v>178</v>
      </c>
      <c r="M112" s="6">
        <v>57</v>
      </c>
      <c r="N112" s="6">
        <v>20</v>
      </c>
      <c r="O112" s="6">
        <v>6</v>
      </c>
      <c r="P112" s="6">
        <v>58</v>
      </c>
      <c r="Q112" s="6">
        <v>21</v>
      </c>
      <c r="R112" s="7">
        <v>0</v>
      </c>
    </row>
    <row r="113" spans="2:18" ht="16.5" thickTop="1" thickBot="1">
      <c r="B113" s="142"/>
      <c r="C113" s="5" t="s">
        <v>192</v>
      </c>
      <c r="D113" s="6">
        <v>95</v>
      </c>
      <c r="E113" s="6">
        <v>10</v>
      </c>
      <c r="F113" s="6">
        <v>5</v>
      </c>
      <c r="G113" s="6">
        <v>90</v>
      </c>
      <c r="H113" s="6">
        <v>15</v>
      </c>
      <c r="I113" s="6">
        <v>5</v>
      </c>
      <c r="J113" s="6" t="s">
        <v>184</v>
      </c>
      <c r="K113" s="6" t="s">
        <v>184</v>
      </c>
      <c r="L113" s="6" t="s">
        <v>178</v>
      </c>
      <c r="M113" s="6">
        <v>54</v>
      </c>
      <c r="N113" s="6">
        <v>19</v>
      </c>
      <c r="O113" s="6">
        <v>9</v>
      </c>
      <c r="P113" s="6">
        <v>48</v>
      </c>
      <c r="Q113" s="6">
        <v>13</v>
      </c>
      <c r="R113" s="7">
        <v>0</v>
      </c>
    </row>
    <row r="114" spans="2:18" ht="16.5" thickTop="1" thickBot="1">
      <c r="B114" s="142"/>
      <c r="C114" s="5" t="s">
        <v>193</v>
      </c>
      <c r="D114" s="6">
        <v>95</v>
      </c>
      <c r="E114" s="6">
        <v>10</v>
      </c>
      <c r="F114" s="6">
        <v>5</v>
      </c>
      <c r="G114" s="6">
        <v>90</v>
      </c>
      <c r="H114" s="6">
        <v>15</v>
      </c>
      <c r="I114" s="6">
        <v>5</v>
      </c>
      <c r="J114" s="6" t="s">
        <v>184</v>
      </c>
      <c r="K114" s="6" t="s">
        <v>184</v>
      </c>
      <c r="L114" s="6" t="s">
        <v>178</v>
      </c>
      <c r="M114" s="6">
        <v>34</v>
      </c>
      <c r="N114" s="6">
        <v>15</v>
      </c>
      <c r="O114" s="6">
        <v>6</v>
      </c>
      <c r="P114" s="6">
        <v>37</v>
      </c>
      <c r="Q114" s="6">
        <v>8</v>
      </c>
      <c r="R114" s="7">
        <v>0</v>
      </c>
    </row>
    <row r="115" spans="2:18" ht="16.5" thickTop="1" thickBot="1">
      <c r="B115" s="142"/>
      <c r="C115" s="5" t="s">
        <v>194</v>
      </c>
      <c r="D115" s="6">
        <v>95</v>
      </c>
      <c r="E115" s="6">
        <v>10</v>
      </c>
      <c r="F115" s="6">
        <v>5</v>
      </c>
      <c r="G115" s="6">
        <v>90</v>
      </c>
      <c r="H115" s="6">
        <v>15</v>
      </c>
      <c r="I115" s="6">
        <v>5</v>
      </c>
      <c r="J115" s="6" t="s">
        <v>184</v>
      </c>
      <c r="K115" s="6" t="s">
        <v>184</v>
      </c>
      <c r="L115" s="6" t="s">
        <v>178</v>
      </c>
      <c r="M115" s="6">
        <v>33</v>
      </c>
      <c r="N115" s="6">
        <v>12</v>
      </c>
      <c r="O115" s="6">
        <v>4</v>
      </c>
      <c r="P115" s="6">
        <v>37</v>
      </c>
      <c r="Q115" s="6">
        <v>4</v>
      </c>
      <c r="R115" s="7">
        <v>0</v>
      </c>
    </row>
    <row r="116" spans="2:18" ht="16.5" thickTop="1" thickBot="1">
      <c r="B116" s="142"/>
      <c r="C116" s="5" t="s">
        <v>195</v>
      </c>
      <c r="D116" s="6">
        <v>95</v>
      </c>
      <c r="E116" s="6">
        <v>10</v>
      </c>
      <c r="F116" s="6">
        <v>5</v>
      </c>
      <c r="G116" s="6">
        <v>90</v>
      </c>
      <c r="H116" s="6">
        <v>15</v>
      </c>
      <c r="I116" s="6">
        <v>5</v>
      </c>
      <c r="J116" s="6" t="s">
        <v>184</v>
      </c>
      <c r="K116" s="6" t="s">
        <v>184</v>
      </c>
      <c r="L116" s="6" t="s">
        <v>178</v>
      </c>
      <c r="M116" s="6">
        <v>44</v>
      </c>
      <c r="N116" s="6">
        <v>14</v>
      </c>
      <c r="O116" s="6">
        <v>4</v>
      </c>
      <c r="P116" s="6">
        <v>46</v>
      </c>
      <c r="Q116" s="6">
        <v>5</v>
      </c>
      <c r="R116" s="7">
        <v>0</v>
      </c>
    </row>
    <row r="117" spans="2:18" ht="16.5" thickTop="1" thickBot="1">
      <c r="B117" s="142"/>
      <c r="C117" s="5" t="s">
        <v>196</v>
      </c>
      <c r="D117" s="6">
        <v>30</v>
      </c>
      <c r="E117" s="6">
        <v>5</v>
      </c>
      <c r="F117" s="6">
        <v>5</v>
      </c>
      <c r="G117" s="6">
        <v>50</v>
      </c>
      <c r="H117" s="6">
        <v>5</v>
      </c>
      <c r="I117" s="6">
        <v>5</v>
      </c>
      <c r="J117" s="6" t="s">
        <v>184</v>
      </c>
      <c r="K117" s="6" t="s">
        <v>184</v>
      </c>
      <c r="L117" s="6" t="s">
        <v>178</v>
      </c>
      <c r="M117" s="6">
        <v>26</v>
      </c>
      <c r="N117" s="6">
        <v>7</v>
      </c>
      <c r="O117" s="6">
        <v>4</v>
      </c>
      <c r="P117" s="6">
        <v>62</v>
      </c>
      <c r="Q117" s="6">
        <v>6</v>
      </c>
      <c r="R117" s="7">
        <v>0</v>
      </c>
    </row>
    <row r="118" spans="2:18" ht="16.5" thickTop="1" thickBot="1">
      <c r="B118" s="142"/>
      <c r="C118" s="5" t="s">
        <v>197</v>
      </c>
      <c r="D118" s="6">
        <v>10</v>
      </c>
      <c r="E118" s="6">
        <v>5</v>
      </c>
      <c r="F118" s="6">
        <v>0</v>
      </c>
      <c r="G118" s="6">
        <v>30</v>
      </c>
      <c r="H118" s="6">
        <v>5</v>
      </c>
      <c r="I118" s="6">
        <v>5</v>
      </c>
      <c r="J118" s="6" t="s">
        <v>184</v>
      </c>
      <c r="K118" s="6" t="s">
        <v>178</v>
      </c>
      <c r="L118" s="6" t="s">
        <v>178</v>
      </c>
      <c r="M118" s="6">
        <v>21</v>
      </c>
      <c r="N118" s="6">
        <v>7</v>
      </c>
      <c r="O118" s="6">
        <v>4</v>
      </c>
      <c r="P118" s="6">
        <v>20</v>
      </c>
      <c r="Q118" s="6">
        <v>0</v>
      </c>
      <c r="R118" s="7">
        <v>0</v>
      </c>
    </row>
    <row r="119" spans="2:18" ht="16.5" thickTop="1" thickBot="1">
      <c r="B119" s="142"/>
      <c r="C119" s="5" t="s">
        <v>198</v>
      </c>
      <c r="D119" s="6">
        <v>10</v>
      </c>
      <c r="E119" s="6">
        <v>0</v>
      </c>
      <c r="F119" s="6">
        <v>0</v>
      </c>
      <c r="G119" s="6">
        <v>30</v>
      </c>
      <c r="H119" s="6">
        <v>5</v>
      </c>
      <c r="I119" s="6">
        <v>5</v>
      </c>
      <c r="J119" s="6" t="s">
        <v>184</v>
      </c>
      <c r="K119" s="6" t="s">
        <v>178</v>
      </c>
      <c r="L119" s="6" t="s">
        <v>178</v>
      </c>
      <c r="M119" s="6">
        <v>15</v>
      </c>
      <c r="N119" s="6">
        <v>7</v>
      </c>
      <c r="O119" s="6">
        <v>4</v>
      </c>
      <c r="P119" s="6">
        <v>12</v>
      </c>
      <c r="Q119" s="6">
        <v>0</v>
      </c>
      <c r="R119" s="7">
        <v>0</v>
      </c>
    </row>
    <row r="120" spans="2:18" ht="16.5" thickTop="1" thickBot="1">
      <c r="B120" s="142"/>
      <c r="C120" s="5" t="s">
        <v>199</v>
      </c>
      <c r="D120" s="6">
        <v>10</v>
      </c>
      <c r="E120" s="6">
        <v>0</v>
      </c>
      <c r="F120" s="6">
        <v>0</v>
      </c>
      <c r="G120" s="6">
        <v>20</v>
      </c>
      <c r="H120" s="6">
        <v>5</v>
      </c>
      <c r="I120" s="6">
        <v>5</v>
      </c>
      <c r="J120" s="6" t="s">
        <v>184</v>
      </c>
      <c r="K120" s="6" t="s">
        <v>178</v>
      </c>
      <c r="L120" s="6" t="s">
        <v>178</v>
      </c>
      <c r="M120" s="6">
        <v>17</v>
      </c>
      <c r="N120" s="6">
        <v>7</v>
      </c>
      <c r="O120" s="6">
        <v>4</v>
      </c>
      <c r="P120" s="6">
        <v>4</v>
      </c>
      <c r="Q120" s="6">
        <v>0</v>
      </c>
      <c r="R120" s="7">
        <v>0</v>
      </c>
    </row>
    <row r="121" spans="2:18" ht="16.5" thickTop="1" thickBot="1">
      <c r="B121" s="142"/>
      <c r="C121" s="5" t="s">
        <v>200</v>
      </c>
      <c r="D121" s="6">
        <v>10</v>
      </c>
      <c r="E121" s="6">
        <v>0</v>
      </c>
      <c r="F121" s="6">
        <v>0</v>
      </c>
      <c r="G121" s="6">
        <v>20</v>
      </c>
      <c r="H121" s="6">
        <v>5</v>
      </c>
      <c r="I121" s="6">
        <v>5</v>
      </c>
      <c r="J121" s="6" t="s">
        <v>184</v>
      </c>
      <c r="K121" s="6" t="s">
        <v>178</v>
      </c>
      <c r="L121" s="6" t="s">
        <v>178</v>
      </c>
      <c r="M121" s="6">
        <v>8</v>
      </c>
      <c r="N121" s="6">
        <v>9</v>
      </c>
      <c r="O121" s="6">
        <v>7</v>
      </c>
      <c r="P121" s="6">
        <v>4</v>
      </c>
      <c r="Q121" s="6">
        <v>0</v>
      </c>
      <c r="R121" s="7">
        <v>0</v>
      </c>
    </row>
    <row r="122" spans="2:18" ht="16.5" thickTop="1" thickBot="1">
      <c r="B122" s="142"/>
      <c r="C122" s="5" t="s">
        <v>201</v>
      </c>
      <c r="D122" s="6">
        <v>5</v>
      </c>
      <c r="E122" s="6">
        <v>0</v>
      </c>
      <c r="F122" s="6">
        <v>0</v>
      </c>
      <c r="G122" s="6">
        <v>10</v>
      </c>
      <c r="H122" s="6">
        <v>5</v>
      </c>
      <c r="I122" s="6">
        <v>5</v>
      </c>
      <c r="J122" s="6" t="s">
        <v>178</v>
      </c>
      <c r="K122" s="6" t="s">
        <v>178</v>
      </c>
      <c r="L122" s="6" t="s">
        <v>178</v>
      </c>
      <c r="M122" s="6">
        <v>5</v>
      </c>
      <c r="N122" s="6">
        <v>5</v>
      </c>
      <c r="O122" s="6">
        <v>4</v>
      </c>
      <c r="P122" s="6">
        <v>0</v>
      </c>
      <c r="Q122" s="6">
        <v>0</v>
      </c>
      <c r="R122" s="7">
        <v>0</v>
      </c>
    </row>
    <row r="123" spans="2:18" ht="16.5" thickTop="1" thickBot="1">
      <c r="B123" s="142"/>
      <c r="C123" s="8" t="s">
        <v>202</v>
      </c>
      <c r="D123" s="9">
        <v>5</v>
      </c>
      <c r="E123" s="9">
        <v>0</v>
      </c>
      <c r="F123" s="9">
        <v>0</v>
      </c>
      <c r="G123" s="9">
        <v>5</v>
      </c>
      <c r="H123" s="9">
        <v>5</v>
      </c>
      <c r="I123" s="9">
        <v>5</v>
      </c>
      <c r="J123" s="9" t="s">
        <v>178</v>
      </c>
      <c r="K123" s="9" t="s">
        <v>178</v>
      </c>
      <c r="L123" s="9" t="s">
        <v>178</v>
      </c>
      <c r="M123" s="9">
        <v>5</v>
      </c>
      <c r="N123" s="9">
        <v>5</v>
      </c>
      <c r="O123" s="9">
        <v>4</v>
      </c>
      <c r="P123" s="9">
        <v>0</v>
      </c>
      <c r="Q123" s="9">
        <v>0</v>
      </c>
      <c r="R123" s="10">
        <v>0</v>
      </c>
    </row>
    <row r="124" spans="2:18" ht="16.5" thickTop="1" thickBot="1">
      <c r="B124" s="142" t="s">
        <v>217</v>
      </c>
      <c r="C124" s="2" t="s">
        <v>177</v>
      </c>
      <c r="D124" s="13" t="s">
        <v>68</v>
      </c>
      <c r="E124" s="13" t="s">
        <v>68</v>
      </c>
      <c r="F124" s="13" t="s">
        <v>68</v>
      </c>
      <c r="G124" s="3">
        <v>100</v>
      </c>
      <c r="H124" s="3">
        <v>100</v>
      </c>
      <c r="I124" s="3">
        <v>100</v>
      </c>
      <c r="J124" s="13" t="s">
        <v>68</v>
      </c>
      <c r="K124" s="13" t="s">
        <v>68</v>
      </c>
      <c r="L124" s="13" t="s">
        <v>68</v>
      </c>
      <c r="M124" s="13" t="s">
        <v>68</v>
      </c>
      <c r="N124" s="13" t="s">
        <v>68</v>
      </c>
      <c r="O124" s="13" t="s">
        <v>68</v>
      </c>
      <c r="P124" s="13" t="s">
        <v>68</v>
      </c>
      <c r="Q124" s="13" t="s">
        <v>68</v>
      </c>
      <c r="R124" s="16" t="s">
        <v>68</v>
      </c>
    </row>
    <row r="125" spans="2:18" ht="16.5" thickTop="1" thickBot="1">
      <c r="B125" s="142"/>
      <c r="C125" s="5" t="s">
        <v>179</v>
      </c>
      <c r="D125" s="14" t="s">
        <v>68</v>
      </c>
      <c r="E125" s="14" t="s">
        <v>68</v>
      </c>
      <c r="F125" s="14" t="s">
        <v>68</v>
      </c>
      <c r="G125" s="6">
        <v>100</v>
      </c>
      <c r="H125" s="6">
        <v>100</v>
      </c>
      <c r="I125" s="6">
        <v>100</v>
      </c>
      <c r="J125" s="14" t="s">
        <v>68</v>
      </c>
      <c r="K125" s="14" t="s">
        <v>68</v>
      </c>
      <c r="L125" s="14" t="s">
        <v>68</v>
      </c>
      <c r="M125" s="14" t="s">
        <v>68</v>
      </c>
      <c r="N125" s="14" t="s">
        <v>68</v>
      </c>
      <c r="O125" s="14" t="s">
        <v>68</v>
      </c>
      <c r="P125" s="14" t="s">
        <v>68</v>
      </c>
      <c r="Q125" s="14" t="s">
        <v>68</v>
      </c>
      <c r="R125" s="17" t="s">
        <v>68</v>
      </c>
    </row>
    <row r="126" spans="2:18" ht="16.5" thickTop="1" thickBot="1">
      <c r="B126" s="142"/>
      <c r="C126" s="5" t="s">
        <v>180</v>
      </c>
      <c r="D126" s="14" t="s">
        <v>68</v>
      </c>
      <c r="E126" s="14" t="s">
        <v>68</v>
      </c>
      <c r="F126" s="14" t="s">
        <v>68</v>
      </c>
      <c r="G126" s="6">
        <v>100</v>
      </c>
      <c r="H126" s="6">
        <v>100</v>
      </c>
      <c r="I126" s="6">
        <v>100</v>
      </c>
      <c r="J126" s="14" t="s">
        <v>68</v>
      </c>
      <c r="K126" s="14" t="s">
        <v>68</v>
      </c>
      <c r="L126" s="14" t="s">
        <v>68</v>
      </c>
      <c r="M126" s="14" t="s">
        <v>68</v>
      </c>
      <c r="N126" s="14" t="s">
        <v>68</v>
      </c>
      <c r="O126" s="14" t="s">
        <v>68</v>
      </c>
      <c r="P126" s="14" t="s">
        <v>68</v>
      </c>
      <c r="Q126" s="14" t="s">
        <v>68</v>
      </c>
      <c r="R126" s="17" t="s">
        <v>68</v>
      </c>
    </row>
    <row r="127" spans="2:18" ht="16.5" thickTop="1" thickBot="1">
      <c r="B127" s="142"/>
      <c r="C127" s="5" t="s">
        <v>181</v>
      </c>
      <c r="D127" s="14" t="s">
        <v>68</v>
      </c>
      <c r="E127" s="14" t="s">
        <v>68</v>
      </c>
      <c r="F127" s="14" t="s">
        <v>68</v>
      </c>
      <c r="G127" s="6">
        <v>100</v>
      </c>
      <c r="H127" s="6">
        <v>100</v>
      </c>
      <c r="I127" s="6">
        <v>100</v>
      </c>
      <c r="J127" s="14" t="s">
        <v>68</v>
      </c>
      <c r="K127" s="14" t="s">
        <v>68</v>
      </c>
      <c r="L127" s="14" t="s">
        <v>68</v>
      </c>
      <c r="M127" s="14" t="s">
        <v>68</v>
      </c>
      <c r="N127" s="14" t="s">
        <v>68</v>
      </c>
      <c r="O127" s="14" t="s">
        <v>68</v>
      </c>
      <c r="P127" s="14" t="s">
        <v>68</v>
      </c>
      <c r="Q127" s="14" t="s">
        <v>68</v>
      </c>
      <c r="R127" s="17" t="s">
        <v>68</v>
      </c>
    </row>
    <row r="128" spans="2:18" ht="16.5" thickTop="1" thickBot="1">
      <c r="B128" s="142"/>
      <c r="C128" s="5" t="s">
        <v>182</v>
      </c>
      <c r="D128" s="14" t="s">
        <v>68</v>
      </c>
      <c r="E128" s="14" t="s">
        <v>68</v>
      </c>
      <c r="F128" s="14" t="s">
        <v>68</v>
      </c>
      <c r="G128" s="6">
        <v>100</v>
      </c>
      <c r="H128" s="6">
        <v>100</v>
      </c>
      <c r="I128" s="6">
        <v>100</v>
      </c>
      <c r="J128" s="14" t="s">
        <v>68</v>
      </c>
      <c r="K128" s="14" t="s">
        <v>68</v>
      </c>
      <c r="L128" s="14" t="s">
        <v>68</v>
      </c>
      <c r="M128" s="14" t="s">
        <v>68</v>
      </c>
      <c r="N128" s="14" t="s">
        <v>68</v>
      </c>
      <c r="O128" s="14" t="s">
        <v>68</v>
      </c>
      <c r="P128" s="14" t="s">
        <v>68</v>
      </c>
      <c r="Q128" s="14" t="s">
        <v>68</v>
      </c>
      <c r="R128" s="17" t="s">
        <v>68</v>
      </c>
    </row>
    <row r="129" spans="2:18" ht="16.5" thickTop="1" thickBot="1">
      <c r="B129" s="142"/>
      <c r="C129" s="5" t="s">
        <v>183</v>
      </c>
      <c r="D129" s="14" t="s">
        <v>68</v>
      </c>
      <c r="E129" s="14" t="s">
        <v>68</v>
      </c>
      <c r="F129" s="14" t="s">
        <v>68</v>
      </c>
      <c r="G129" s="6">
        <v>100</v>
      </c>
      <c r="H129" s="6">
        <v>100</v>
      </c>
      <c r="I129" s="6">
        <v>100</v>
      </c>
      <c r="J129" s="14" t="s">
        <v>68</v>
      </c>
      <c r="K129" s="14" t="s">
        <v>68</v>
      </c>
      <c r="L129" s="14" t="s">
        <v>68</v>
      </c>
      <c r="M129" s="14" t="s">
        <v>68</v>
      </c>
      <c r="N129" s="14" t="s">
        <v>68</v>
      </c>
      <c r="O129" s="14" t="s">
        <v>68</v>
      </c>
      <c r="P129" s="14" t="s">
        <v>68</v>
      </c>
      <c r="Q129" s="14" t="s">
        <v>68</v>
      </c>
      <c r="R129" s="17" t="s">
        <v>68</v>
      </c>
    </row>
    <row r="130" spans="2:18" ht="16.5" thickTop="1" thickBot="1">
      <c r="B130" s="142"/>
      <c r="C130" s="5" t="s">
        <v>185</v>
      </c>
      <c r="D130" s="14" t="s">
        <v>68</v>
      </c>
      <c r="E130" s="14" t="s">
        <v>68</v>
      </c>
      <c r="F130" s="14" t="s">
        <v>68</v>
      </c>
      <c r="G130" s="6">
        <v>100</v>
      </c>
      <c r="H130" s="6">
        <v>100</v>
      </c>
      <c r="I130" s="6">
        <v>100</v>
      </c>
      <c r="J130" s="14" t="s">
        <v>68</v>
      </c>
      <c r="K130" s="14" t="s">
        <v>68</v>
      </c>
      <c r="L130" s="14" t="s">
        <v>68</v>
      </c>
      <c r="M130" s="14" t="s">
        <v>68</v>
      </c>
      <c r="N130" s="14" t="s">
        <v>68</v>
      </c>
      <c r="O130" s="14" t="s">
        <v>68</v>
      </c>
      <c r="P130" s="14" t="s">
        <v>68</v>
      </c>
      <c r="Q130" s="14" t="s">
        <v>68</v>
      </c>
      <c r="R130" s="17" t="s">
        <v>68</v>
      </c>
    </row>
    <row r="131" spans="2:18" ht="16.5" thickTop="1" thickBot="1">
      <c r="B131" s="142"/>
      <c r="C131" s="5" t="s">
        <v>186</v>
      </c>
      <c r="D131" s="14" t="s">
        <v>68</v>
      </c>
      <c r="E131" s="14" t="s">
        <v>68</v>
      </c>
      <c r="F131" s="14" t="s">
        <v>68</v>
      </c>
      <c r="G131" s="6">
        <v>100</v>
      </c>
      <c r="H131" s="6">
        <v>100</v>
      </c>
      <c r="I131" s="6">
        <v>100</v>
      </c>
      <c r="J131" s="14" t="s">
        <v>68</v>
      </c>
      <c r="K131" s="14" t="s">
        <v>68</v>
      </c>
      <c r="L131" s="14" t="s">
        <v>68</v>
      </c>
      <c r="M131" s="14" t="s">
        <v>68</v>
      </c>
      <c r="N131" s="14" t="s">
        <v>68</v>
      </c>
      <c r="O131" s="14" t="s">
        <v>68</v>
      </c>
      <c r="P131" s="14" t="s">
        <v>68</v>
      </c>
      <c r="Q131" s="14" t="s">
        <v>68</v>
      </c>
      <c r="R131" s="17" t="s">
        <v>68</v>
      </c>
    </row>
    <row r="132" spans="2:18" ht="16.5" thickTop="1" thickBot="1">
      <c r="B132" s="142"/>
      <c r="C132" s="5" t="s">
        <v>187</v>
      </c>
      <c r="D132" s="14" t="s">
        <v>68</v>
      </c>
      <c r="E132" s="14" t="s">
        <v>68</v>
      </c>
      <c r="F132" s="14" t="s">
        <v>68</v>
      </c>
      <c r="G132" s="6">
        <v>100</v>
      </c>
      <c r="H132" s="6">
        <v>100</v>
      </c>
      <c r="I132" s="6">
        <v>100</v>
      </c>
      <c r="J132" s="14" t="s">
        <v>68</v>
      </c>
      <c r="K132" s="14" t="s">
        <v>68</v>
      </c>
      <c r="L132" s="14" t="s">
        <v>68</v>
      </c>
      <c r="M132" s="14" t="s">
        <v>68</v>
      </c>
      <c r="N132" s="14" t="s">
        <v>68</v>
      </c>
      <c r="O132" s="14" t="s">
        <v>68</v>
      </c>
      <c r="P132" s="14" t="s">
        <v>68</v>
      </c>
      <c r="Q132" s="14" t="s">
        <v>68</v>
      </c>
      <c r="R132" s="17" t="s">
        <v>68</v>
      </c>
    </row>
    <row r="133" spans="2:18" ht="16.5" thickTop="1" thickBot="1">
      <c r="B133" s="142"/>
      <c r="C133" s="5" t="s">
        <v>188</v>
      </c>
      <c r="D133" s="14" t="s">
        <v>68</v>
      </c>
      <c r="E133" s="14" t="s">
        <v>68</v>
      </c>
      <c r="F133" s="14" t="s">
        <v>68</v>
      </c>
      <c r="G133" s="6">
        <v>100</v>
      </c>
      <c r="H133" s="6">
        <v>100</v>
      </c>
      <c r="I133" s="6">
        <v>100</v>
      </c>
      <c r="J133" s="14" t="s">
        <v>68</v>
      </c>
      <c r="K133" s="14" t="s">
        <v>68</v>
      </c>
      <c r="L133" s="14" t="s">
        <v>68</v>
      </c>
      <c r="M133" s="14" t="s">
        <v>68</v>
      </c>
      <c r="N133" s="14" t="s">
        <v>68</v>
      </c>
      <c r="O133" s="14" t="s">
        <v>68</v>
      </c>
      <c r="P133" s="14" t="s">
        <v>68</v>
      </c>
      <c r="Q133" s="14" t="s">
        <v>68</v>
      </c>
      <c r="R133" s="17" t="s">
        <v>68</v>
      </c>
    </row>
    <row r="134" spans="2:18" ht="16.5" thickTop="1" thickBot="1">
      <c r="B134" s="142"/>
      <c r="C134" s="5" t="s">
        <v>189</v>
      </c>
      <c r="D134" s="14" t="s">
        <v>68</v>
      </c>
      <c r="E134" s="14" t="s">
        <v>68</v>
      </c>
      <c r="F134" s="14" t="s">
        <v>68</v>
      </c>
      <c r="G134" s="6">
        <v>100</v>
      </c>
      <c r="H134" s="6">
        <v>100</v>
      </c>
      <c r="I134" s="6">
        <v>100</v>
      </c>
      <c r="J134" s="14" t="s">
        <v>68</v>
      </c>
      <c r="K134" s="14" t="s">
        <v>68</v>
      </c>
      <c r="L134" s="14" t="s">
        <v>68</v>
      </c>
      <c r="M134" s="14" t="s">
        <v>68</v>
      </c>
      <c r="N134" s="14" t="s">
        <v>68</v>
      </c>
      <c r="O134" s="14" t="s">
        <v>68</v>
      </c>
      <c r="P134" s="14" t="s">
        <v>68</v>
      </c>
      <c r="Q134" s="14" t="s">
        <v>68</v>
      </c>
      <c r="R134" s="17" t="s">
        <v>68</v>
      </c>
    </row>
    <row r="135" spans="2:18" ht="16.5" thickTop="1" thickBot="1">
      <c r="B135" s="142"/>
      <c r="C135" s="5" t="s">
        <v>190</v>
      </c>
      <c r="D135" s="14" t="s">
        <v>68</v>
      </c>
      <c r="E135" s="14" t="s">
        <v>68</v>
      </c>
      <c r="F135" s="14" t="s">
        <v>68</v>
      </c>
      <c r="G135" s="6">
        <v>100</v>
      </c>
      <c r="H135" s="6">
        <v>100</v>
      </c>
      <c r="I135" s="6">
        <v>100</v>
      </c>
      <c r="J135" s="14" t="s">
        <v>68</v>
      </c>
      <c r="K135" s="14" t="s">
        <v>68</v>
      </c>
      <c r="L135" s="14" t="s">
        <v>68</v>
      </c>
      <c r="M135" s="14" t="s">
        <v>68</v>
      </c>
      <c r="N135" s="14" t="s">
        <v>68</v>
      </c>
      <c r="O135" s="14" t="s">
        <v>68</v>
      </c>
      <c r="P135" s="14" t="s">
        <v>68</v>
      </c>
      <c r="Q135" s="14" t="s">
        <v>68</v>
      </c>
      <c r="R135" s="17" t="s">
        <v>68</v>
      </c>
    </row>
    <row r="136" spans="2:18" ht="16.5" thickTop="1" thickBot="1">
      <c r="B136" s="142"/>
      <c r="C136" s="5" t="s">
        <v>191</v>
      </c>
      <c r="D136" s="14" t="s">
        <v>68</v>
      </c>
      <c r="E136" s="14" t="s">
        <v>68</v>
      </c>
      <c r="F136" s="14" t="s">
        <v>68</v>
      </c>
      <c r="G136" s="6">
        <v>100</v>
      </c>
      <c r="H136" s="6">
        <v>100</v>
      </c>
      <c r="I136" s="6">
        <v>100</v>
      </c>
      <c r="J136" s="14" t="s">
        <v>68</v>
      </c>
      <c r="K136" s="14" t="s">
        <v>68</v>
      </c>
      <c r="L136" s="14" t="s">
        <v>68</v>
      </c>
      <c r="M136" s="14" t="s">
        <v>68</v>
      </c>
      <c r="N136" s="14" t="s">
        <v>68</v>
      </c>
      <c r="O136" s="14" t="s">
        <v>68</v>
      </c>
      <c r="P136" s="14" t="s">
        <v>68</v>
      </c>
      <c r="Q136" s="14" t="s">
        <v>68</v>
      </c>
      <c r="R136" s="17" t="s">
        <v>68</v>
      </c>
    </row>
    <row r="137" spans="2:18" ht="16.5" thickTop="1" thickBot="1">
      <c r="B137" s="142"/>
      <c r="C137" s="5" t="s">
        <v>192</v>
      </c>
      <c r="D137" s="14" t="s">
        <v>68</v>
      </c>
      <c r="E137" s="14" t="s">
        <v>68</v>
      </c>
      <c r="F137" s="14" t="s">
        <v>68</v>
      </c>
      <c r="G137" s="6">
        <v>100</v>
      </c>
      <c r="H137" s="6">
        <v>100</v>
      </c>
      <c r="I137" s="6">
        <v>100</v>
      </c>
      <c r="J137" s="14" t="s">
        <v>68</v>
      </c>
      <c r="K137" s="14" t="s">
        <v>68</v>
      </c>
      <c r="L137" s="14" t="s">
        <v>68</v>
      </c>
      <c r="M137" s="14" t="s">
        <v>68</v>
      </c>
      <c r="N137" s="14" t="s">
        <v>68</v>
      </c>
      <c r="O137" s="14" t="s">
        <v>68</v>
      </c>
      <c r="P137" s="14" t="s">
        <v>68</v>
      </c>
      <c r="Q137" s="14" t="s">
        <v>68</v>
      </c>
      <c r="R137" s="17" t="s">
        <v>68</v>
      </c>
    </row>
    <row r="138" spans="2:18" ht="16.5" thickTop="1" thickBot="1">
      <c r="B138" s="142"/>
      <c r="C138" s="5" t="s">
        <v>193</v>
      </c>
      <c r="D138" s="14" t="s">
        <v>68</v>
      </c>
      <c r="E138" s="14" t="s">
        <v>68</v>
      </c>
      <c r="F138" s="14" t="s">
        <v>68</v>
      </c>
      <c r="G138" s="6">
        <v>100</v>
      </c>
      <c r="H138" s="6">
        <v>100</v>
      </c>
      <c r="I138" s="6">
        <v>100</v>
      </c>
      <c r="J138" s="14" t="s">
        <v>68</v>
      </c>
      <c r="K138" s="14" t="s">
        <v>68</v>
      </c>
      <c r="L138" s="14" t="s">
        <v>68</v>
      </c>
      <c r="M138" s="14" t="s">
        <v>68</v>
      </c>
      <c r="N138" s="14" t="s">
        <v>68</v>
      </c>
      <c r="O138" s="14" t="s">
        <v>68</v>
      </c>
      <c r="P138" s="14" t="s">
        <v>68</v>
      </c>
      <c r="Q138" s="14" t="s">
        <v>68</v>
      </c>
      <c r="R138" s="17" t="s">
        <v>68</v>
      </c>
    </row>
    <row r="139" spans="2:18" ht="16.5" thickTop="1" thickBot="1">
      <c r="B139" s="142"/>
      <c r="C139" s="5" t="s">
        <v>194</v>
      </c>
      <c r="D139" s="14" t="s">
        <v>68</v>
      </c>
      <c r="E139" s="14" t="s">
        <v>68</v>
      </c>
      <c r="F139" s="14" t="s">
        <v>68</v>
      </c>
      <c r="G139" s="6">
        <v>100</v>
      </c>
      <c r="H139" s="6">
        <v>100</v>
      </c>
      <c r="I139" s="6">
        <v>100</v>
      </c>
      <c r="J139" s="14" t="s">
        <v>68</v>
      </c>
      <c r="K139" s="14" t="s">
        <v>68</v>
      </c>
      <c r="L139" s="14" t="s">
        <v>68</v>
      </c>
      <c r="M139" s="14" t="s">
        <v>68</v>
      </c>
      <c r="N139" s="14" t="s">
        <v>68</v>
      </c>
      <c r="O139" s="14" t="s">
        <v>68</v>
      </c>
      <c r="P139" s="14" t="s">
        <v>68</v>
      </c>
      <c r="Q139" s="14" t="s">
        <v>68</v>
      </c>
      <c r="R139" s="17" t="s">
        <v>68</v>
      </c>
    </row>
    <row r="140" spans="2:18" ht="16.5" thickTop="1" thickBot="1">
      <c r="B140" s="142"/>
      <c r="C140" s="5" t="s">
        <v>195</v>
      </c>
      <c r="D140" s="14" t="s">
        <v>68</v>
      </c>
      <c r="E140" s="14" t="s">
        <v>68</v>
      </c>
      <c r="F140" s="14" t="s">
        <v>68</v>
      </c>
      <c r="G140" s="6">
        <v>100</v>
      </c>
      <c r="H140" s="6">
        <v>100</v>
      </c>
      <c r="I140" s="6">
        <v>100</v>
      </c>
      <c r="J140" s="14" t="s">
        <v>68</v>
      </c>
      <c r="K140" s="14" t="s">
        <v>68</v>
      </c>
      <c r="L140" s="14" t="s">
        <v>68</v>
      </c>
      <c r="M140" s="14" t="s">
        <v>68</v>
      </c>
      <c r="N140" s="14" t="s">
        <v>68</v>
      </c>
      <c r="O140" s="14" t="s">
        <v>68</v>
      </c>
      <c r="P140" s="14" t="s">
        <v>68</v>
      </c>
      <c r="Q140" s="14" t="s">
        <v>68</v>
      </c>
      <c r="R140" s="17" t="s">
        <v>68</v>
      </c>
    </row>
    <row r="141" spans="2:18" ht="16.5" thickTop="1" thickBot="1">
      <c r="B141" s="142"/>
      <c r="C141" s="5" t="s">
        <v>196</v>
      </c>
      <c r="D141" s="14" t="s">
        <v>68</v>
      </c>
      <c r="E141" s="14" t="s">
        <v>68</v>
      </c>
      <c r="F141" s="14" t="s">
        <v>68</v>
      </c>
      <c r="G141" s="6">
        <v>100</v>
      </c>
      <c r="H141" s="6">
        <v>100</v>
      </c>
      <c r="I141" s="6">
        <v>100</v>
      </c>
      <c r="J141" s="14" t="s">
        <v>68</v>
      </c>
      <c r="K141" s="14" t="s">
        <v>68</v>
      </c>
      <c r="L141" s="14" t="s">
        <v>68</v>
      </c>
      <c r="M141" s="14" t="s">
        <v>68</v>
      </c>
      <c r="N141" s="14" t="s">
        <v>68</v>
      </c>
      <c r="O141" s="14" t="s">
        <v>68</v>
      </c>
      <c r="P141" s="14" t="s">
        <v>68</v>
      </c>
      <c r="Q141" s="14" t="s">
        <v>68</v>
      </c>
      <c r="R141" s="17" t="s">
        <v>68</v>
      </c>
    </row>
    <row r="142" spans="2:18" ht="16.5" thickTop="1" thickBot="1">
      <c r="B142" s="142"/>
      <c r="C142" s="5" t="s">
        <v>197</v>
      </c>
      <c r="D142" s="14" t="s">
        <v>68</v>
      </c>
      <c r="E142" s="14" t="s">
        <v>68</v>
      </c>
      <c r="F142" s="14" t="s">
        <v>68</v>
      </c>
      <c r="G142" s="6">
        <v>100</v>
      </c>
      <c r="H142" s="6">
        <v>100</v>
      </c>
      <c r="I142" s="6">
        <v>100</v>
      </c>
      <c r="J142" s="14" t="s">
        <v>68</v>
      </c>
      <c r="K142" s="14" t="s">
        <v>68</v>
      </c>
      <c r="L142" s="14" t="s">
        <v>68</v>
      </c>
      <c r="M142" s="14" t="s">
        <v>68</v>
      </c>
      <c r="N142" s="14" t="s">
        <v>68</v>
      </c>
      <c r="O142" s="14" t="s">
        <v>68</v>
      </c>
      <c r="P142" s="14" t="s">
        <v>68</v>
      </c>
      <c r="Q142" s="14" t="s">
        <v>68</v>
      </c>
      <c r="R142" s="17" t="s">
        <v>68</v>
      </c>
    </row>
    <row r="143" spans="2:18" ht="16.5" thickTop="1" thickBot="1">
      <c r="B143" s="142"/>
      <c r="C143" s="5" t="s">
        <v>198</v>
      </c>
      <c r="D143" s="14" t="s">
        <v>68</v>
      </c>
      <c r="E143" s="14" t="s">
        <v>68</v>
      </c>
      <c r="F143" s="14" t="s">
        <v>68</v>
      </c>
      <c r="G143" s="6">
        <v>100</v>
      </c>
      <c r="H143" s="6">
        <v>100</v>
      </c>
      <c r="I143" s="6">
        <v>100</v>
      </c>
      <c r="J143" s="14" t="s">
        <v>68</v>
      </c>
      <c r="K143" s="14" t="s">
        <v>68</v>
      </c>
      <c r="L143" s="14" t="s">
        <v>68</v>
      </c>
      <c r="M143" s="14" t="s">
        <v>68</v>
      </c>
      <c r="N143" s="14" t="s">
        <v>68</v>
      </c>
      <c r="O143" s="14" t="s">
        <v>68</v>
      </c>
      <c r="P143" s="14" t="s">
        <v>68</v>
      </c>
      <c r="Q143" s="14" t="s">
        <v>68</v>
      </c>
      <c r="R143" s="17" t="s">
        <v>68</v>
      </c>
    </row>
    <row r="144" spans="2:18" ht="16.5" thickTop="1" thickBot="1">
      <c r="B144" s="142"/>
      <c r="C144" s="5" t="s">
        <v>199</v>
      </c>
      <c r="D144" s="14" t="s">
        <v>68</v>
      </c>
      <c r="E144" s="14" t="s">
        <v>68</v>
      </c>
      <c r="F144" s="14" t="s">
        <v>68</v>
      </c>
      <c r="G144" s="6">
        <v>100</v>
      </c>
      <c r="H144" s="6">
        <v>100</v>
      </c>
      <c r="I144" s="6">
        <v>100</v>
      </c>
      <c r="J144" s="14" t="s">
        <v>68</v>
      </c>
      <c r="K144" s="14" t="s">
        <v>68</v>
      </c>
      <c r="L144" s="14" t="s">
        <v>68</v>
      </c>
      <c r="M144" s="14" t="s">
        <v>68</v>
      </c>
      <c r="N144" s="14" t="s">
        <v>68</v>
      </c>
      <c r="O144" s="14" t="s">
        <v>68</v>
      </c>
      <c r="P144" s="14" t="s">
        <v>68</v>
      </c>
      <c r="Q144" s="14" t="s">
        <v>68</v>
      </c>
      <c r="R144" s="17" t="s">
        <v>68</v>
      </c>
    </row>
    <row r="145" spans="2:18" ht="16.5" thickTop="1" thickBot="1">
      <c r="B145" s="142"/>
      <c r="C145" s="5" t="s">
        <v>200</v>
      </c>
      <c r="D145" s="14" t="s">
        <v>68</v>
      </c>
      <c r="E145" s="14" t="s">
        <v>68</v>
      </c>
      <c r="F145" s="14" t="s">
        <v>68</v>
      </c>
      <c r="G145" s="6">
        <v>100</v>
      </c>
      <c r="H145" s="6">
        <v>100</v>
      </c>
      <c r="I145" s="6">
        <v>100</v>
      </c>
      <c r="J145" s="14" t="s">
        <v>68</v>
      </c>
      <c r="K145" s="14" t="s">
        <v>68</v>
      </c>
      <c r="L145" s="14" t="s">
        <v>68</v>
      </c>
      <c r="M145" s="14" t="s">
        <v>68</v>
      </c>
      <c r="N145" s="14" t="s">
        <v>68</v>
      </c>
      <c r="O145" s="14" t="s">
        <v>68</v>
      </c>
      <c r="P145" s="14" t="s">
        <v>68</v>
      </c>
      <c r="Q145" s="14" t="s">
        <v>68</v>
      </c>
      <c r="R145" s="17" t="s">
        <v>68</v>
      </c>
    </row>
    <row r="146" spans="2:18" ht="16.5" thickTop="1" thickBot="1">
      <c r="B146" s="142"/>
      <c r="C146" s="5" t="s">
        <v>201</v>
      </c>
      <c r="D146" s="14" t="s">
        <v>68</v>
      </c>
      <c r="E146" s="14" t="s">
        <v>68</v>
      </c>
      <c r="F146" s="14" t="s">
        <v>68</v>
      </c>
      <c r="G146" s="6">
        <v>100</v>
      </c>
      <c r="H146" s="6">
        <v>100</v>
      </c>
      <c r="I146" s="6">
        <v>100</v>
      </c>
      <c r="J146" s="14" t="s">
        <v>68</v>
      </c>
      <c r="K146" s="14" t="s">
        <v>68</v>
      </c>
      <c r="L146" s="14" t="s">
        <v>68</v>
      </c>
      <c r="M146" s="14" t="s">
        <v>68</v>
      </c>
      <c r="N146" s="14" t="s">
        <v>68</v>
      </c>
      <c r="O146" s="14" t="s">
        <v>68</v>
      </c>
      <c r="P146" s="14" t="s">
        <v>68</v>
      </c>
      <c r="Q146" s="14" t="s">
        <v>68</v>
      </c>
      <c r="R146" s="17" t="s">
        <v>68</v>
      </c>
    </row>
    <row r="147" spans="2:18" ht="16.5" thickTop="1" thickBot="1">
      <c r="B147" s="142"/>
      <c r="C147" s="8" t="s">
        <v>202</v>
      </c>
      <c r="D147" s="15" t="s">
        <v>68</v>
      </c>
      <c r="E147" s="15" t="s">
        <v>68</v>
      </c>
      <c r="F147" s="15" t="s">
        <v>68</v>
      </c>
      <c r="G147" s="9">
        <v>100</v>
      </c>
      <c r="H147" s="9">
        <v>100</v>
      </c>
      <c r="I147" s="9">
        <v>100</v>
      </c>
      <c r="J147" s="15" t="s">
        <v>68</v>
      </c>
      <c r="K147" s="15" t="s">
        <v>68</v>
      </c>
      <c r="L147" s="15" t="s">
        <v>68</v>
      </c>
      <c r="M147" s="15" t="s">
        <v>68</v>
      </c>
      <c r="N147" s="15" t="s">
        <v>68</v>
      </c>
      <c r="O147" s="15" t="s">
        <v>68</v>
      </c>
      <c r="P147" s="15" t="s">
        <v>68</v>
      </c>
      <c r="Q147" s="15" t="s">
        <v>68</v>
      </c>
      <c r="R147" s="18" t="s">
        <v>68</v>
      </c>
    </row>
    <row r="148" spans="2:18" ht="16.5" thickTop="1" thickBot="1">
      <c r="B148" s="142" t="s">
        <v>218</v>
      </c>
      <c r="C148" s="2" t="s">
        <v>177</v>
      </c>
      <c r="D148" s="3">
        <v>15</v>
      </c>
      <c r="E148" s="3">
        <v>30</v>
      </c>
      <c r="F148" s="3">
        <v>20</v>
      </c>
      <c r="G148" s="3">
        <v>15</v>
      </c>
      <c r="H148" s="3">
        <v>20</v>
      </c>
      <c r="I148" s="3">
        <v>20</v>
      </c>
      <c r="J148" s="3" t="s">
        <v>184</v>
      </c>
      <c r="K148" s="3" t="s">
        <v>184</v>
      </c>
      <c r="L148" s="3" t="s">
        <v>184</v>
      </c>
      <c r="M148" s="3">
        <v>20</v>
      </c>
      <c r="N148" s="3">
        <v>20</v>
      </c>
      <c r="O148" s="3">
        <v>25</v>
      </c>
      <c r="P148" s="3">
        <v>0</v>
      </c>
      <c r="Q148" s="3">
        <v>0</v>
      </c>
      <c r="R148" s="4">
        <v>0</v>
      </c>
    </row>
    <row r="149" spans="2:18" ht="16.5" thickTop="1" thickBot="1">
      <c r="B149" s="142"/>
      <c r="C149" s="5" t="s">
        <v>179</v>
      </c>
      <c r="D149" s="6">
        <v>15</v>
      </c>
      <c r="E149" s="6">
        <v>25</v>
      </c>
      <c r="F149" s="6">
        <v>20</v>
      </c>
      <c r="G149" s="6">
        <v>15</v>
      </c>
      <c r="H149" s="6">
        <v>15</v>
      </c>
      <c r="I149" s="6">
        <v>15</v>
      </c>
      <c r="J149" s="6" t="s">
        <v>184</v>
      </c>
      <c r="K149" s="6" t="s">
        <v>184</v>
      </c>
      <c r="L149" s="6" t="s">
        <v>184</v>
      </c>
      <c r="M149" s="6">
        <v>15</v>
      </c>
      <c r="N149" s="6">
        <v>15</v>
      </c>
      <c r="O149" s="6">
        <v>20</v>
      </c>
      <c r="P149" s="6">
        <v>0</v>
      </c>
      <c r="Q149" s="6">
        <v>0</v>
      </c>
      <c r="R149" s="7">
        <v>0</v>
      </c>
    </row>
    <row r="150" spans="2:18" ht="16.5" thickTop="1" thickBot="1">
      <c r="B150" s="142"/>
      <c r="C150" s="5" t="s">
        <v>180</v>
      </c>
      <c r="D150" s="6">
        <v>5</v>
      </c>
      <c r="E150" s="6">
        <v>5</v>
      </c>
      <c r="F150" s="6">
        <v>5</v>
      </c>
      <c r="G150" s="6">
        <v>15</v>
      </c>
      <c r="H150" s="6">
        <v>15</v>
      </c>
      <c r="I150" s="6">
        <v>15</v>
      </c>
      <c r="J150" s="6" t="s">
        <v>184</v>
      </c>
      <c r="K150" s="6" t="s">
        <v>184</v>
      </c>
      <c r="L150" s="6" t="s">
        <v>184</v>
      </c>
      <c r="M150" s="6">
        <v>15</v>
      </c>
      <c r="N150" s="6">
        <v>15</v>
      </c>
      <c r="O150" s="6">
        <v>20</v>
      </c>
      <c r="P150" s="6">
        <v>0</v>
      </c>
      <c r="Q150" s="6">
        <v>0</v>
      </c>
      <c r="R150" s="7">
        <v>0</v>
      </c>
    </row>
    <row r="151" spans="2:18" ht="16.5" thickTop="1" thickBot="1">
      <c r="B151" s="142"/>
      <c r="C151" s="5" t="s">
        <v>181</v>
      </c>
      <c r="D151" s="6">
        <v>0</v>
      </c>
      <c r="E151" s="6">
        <v>0</v>
      </c>
      <c r="F151" s="6">
        <v>0</v>
      </c>
      <c r="G151" s="6">
        <v>15</v>
      </c>
      <c r="H151" s="6">
        <v>15</v>
      </c>
      <c r="I151" s="6">
        <v>15</v>
      </c>
      <c r="J151" s="6" t="s">
        <v>178</v>
      </c>
      <c r="K151" s="6" t="s">
        <v>178</v>
      </c>
      <c r="L151" s="6" t="s">
        <v>178</v>
      </c>
      <c r="M151" s="6">
        <v>0</v>
      </c>
      <c r="N151" s="6">
        <v>0</v>
      </c>
      <c r="O151" s="6">
        <v>0</v>
      </c>
      <c r="P151" s="6">
        <v>0</v>
      </c>
      <c r="Q151" s="6">
        <v>0</v>
      </c>
      <c r="R151" s="7">
        <v>0</v>
      </c>
    </row>
    <row r="152" spans="2:18" ht="16.5" thickTop="1" thickBot="1">
      <c r="B152" s="142"/>
      <c r="C152" s="5" t="s">
        <v>182</v>
      </c>
      <c r="D152" s="6">
        <v>0</v>
      </c>
      <c r="E152" s="6">
        <v>0</v>
      </c>
      <c r="F152" s="6">
        <v>0</v>
      </c>
      <c r="G152" s="6">
        <v>15</v>
      </c>
      <c r="H152" s="6">
        <v>15</v>
      </c>
      <c r="I152" s="6">
        <v>15</v>
      </c>
      <c r="J152" s="6" t="s">
        <v>178</v>
      </c>
      <c r="K152" s="6" t="s">
        <v>178</v>
      </c>
      <c r="L152" s="6" t="s">
        <v>178</v>
      </c>
      <c r="M152" s="6">
        <v>0</v>
      </c>
      <c r="N152" s="6">
        <v>0</v>
      </c>
      <c r="O152" s="6">
        <v>0</v>
      </c>
      <c r="P152" s="6">
        <v>0</v>
      </c>
      <c r="Q152" s="6">
        <v>0</v>
      </c>
      <c r="R152" s="7">
        <v>0</v>
      </c>
    </row>
    <row r="153" spans="2:18" ht="16.5" thickTop="1" thickBot="1">
      <c r="B153" s="142"/>
      <c r="C153" s="5" t="s">
        <v>183</v>
      </c>
      <c r="D153" s="6">
        <v>0</v>
      </c>
      <c r="E153" s="6">
        <v>0</v>
      </c>
      <c r="F153" s="6">
        <v>0</v>
      </c>
      <c r="G153" s="6">
        <v>20</v>
      </c>
      <c r="H153" s="6">
        <v>15</v>
      </c>
      <c r="I153" s="6">
        <v>15</v>
      </c>
      <c r="J153" s="6" t="s">
        <v>178</v>
      </c>
      <c r="K153" s="6" t="s">
        <v>178</v>
      </c>
      <c r="L153" s="6" t="s">
        <v>178</v>
      </c>
      <c r="M153" s="6">
        <v>0</v>
      </c>
      <c r="N153" s="6">
        <v>0</v>
      </c>
      <c r="O153" s="6">
        <v>0</v>
      </c>
      <c r="P153" s="6">
        <v>0</v>
      </c>
      <c r="Q153" s="6">
        <v>0</v>
      </c>
      <c r="R153" s="7">
        <v>0</v>
      </c>
    </row>
    <row r="154" spans="2:18" ht="16.5" thickTop="1" thickBot="1">
      <c r="B154" s="142"/>
      <c r="C154" s="5" t="s">
        <v>185</v>
      </c>
      <c r="D154" s="6">
        <v>0</v>
      </c>
      <c r="E154" s="6">
        <v>0</v>
      </c>
      <c r="F154" s="6">
        <v>0</v>
      </c>
      <c r="G154" s="6">
        <v>40</v>
      </c>
      <c r="H154" s="6">
        <v>30</v>
      </c>
      <c r="I154" s="6">
        <v>30</v>
      </c>
      <c r="J154" s="6" t="s">
        <v>178</v>
      </c>
      <c r="K154" s="6" t="s">
        <v>178</v>
      </c>
      <c r="L154" s="6" t="s">
        <v>178</v>
      </c>
      <c r="M154" s="6">
        <v>0</v>
      </c>
      <c r="N154" s="6">
        <v>0</v>
      </c>
      <c r="O154" s="6">
        <v>0</v>
      </c>
      <c r="P154" s="6">
        <v>0</v>
      </c>
      <c r="Q154" s="6">
        <v>0</v>
      </c>
      <c r="R154" s="7">
        <v>0</v>
      </c>
    </row>
    <row r="155" spans="2:18" ht="16.5" thickTop="1" thickBot="1">
      <c r="B155" s="142"/>
      <c r="C155" s="5" t="s">
        <v>186</v>
      </c>
      <c r="D155" s="6">
        <v>5</v>
      </c>
      <c r="E155" s="6">
        <v>0</v>
      </c>
      <c r="F155" s="6">
        <v>0</v>
      </c>
      <c r="G155" s="6">
        <v>40</v>
      </c>
      <c r="H155" s="6">
        <v>30</v>
      </c>
      <c r="I155" s="6">
        <v>30</v>
      </c>
      <c r="J155" s="6" t="s">
        <v>184</v>
      </c>
      <c r="K155" s="6" t="s">
        <v>178</v>
      </c>
      <c r="L155" s="6" t="s">
        <v>178</v>
      </c>
      <c r="M155" s="6">
        <v>60</v>
      </c>
      <c r="N155" s="6">
        <v>0</v>
      </c>
      <c r="O155" s="6">
        <v>0</v>
      </c>
      <c r="P155" s="6">
        <v>0</v>
      </c>
      <c r="Q155" s="6">
        <v>0</v>
      </c>
      <c r="R155" s="7">
        <v>0</v>
      </c>
    </row>
    <row r="156" spans="2:18" ht="16.5" thickTop="1" thickBot="1">
      <c r="B156" s="142"/>
      <c r="C156" s="5" t="s">
        <v>187</v>
      </c>
      <c r="D156" s="6">
        <v>5</v>
      </c>
      <c r="E156" s="6">
        <v>0</v>
      </c>
      <c r="F156" s="6">
        <v>0</v>
      </c>
      <c r="G156" s="6">
        <v>60</v>
      </c>
      <c r="H156" s="6">
        <v>60</v>
      </c>
      <c r="I156" s="6">
        <v>50</v>
      </c>
      <c r="J156" s="6" t="s">
        <v>184</v>
      </c>
      <c r="K156" s="6" t="s">
        <v>178</v>
      </c>
      <c r="L156" s="6" t="s">
        <v>178</v>
      </c>
      <c r="M156" s="6">
        <v>55</v>
      </c>
      <c r="N156" s="6">
        <v>0</v>
      </c>
      <c r="O156" s="6">
        <v>0</v>
      </c>
      <c r="P156" s="6">
        <v>0</v>
      </c>
      <c r="Q156" s="6">
        <v>0</v>
      </c>
      <c r="R156" s="7">
        <v>0</v>
      </c>
    </row>
    <row r="157" spans="2:18" ht="16.5" thickTop="1" thickBot="1">
      <c r="B157" s="142"/>
      <c r="C157" s="5" t="s">
        <v>188</v>
      </c>
      <c r="D157" s="6">
        <v>5</v>
      </c>
      <c r="E157" s="6">
        <v>5</v>
      </c>
      <c r="F157" s="6">
        <v>0</v>
      </c>
      <c r="G157" s="6">
        <v>60</v>
      </c>
      <c r="H157" s="6">
        <v>60</v>
      </c>
      <c r="I157" s="6">
        <v>50</v>
      </c>
      <c r="J157" s="6" t="s">
        <v>184</v>
      </c>
      <c r="K157" s="6" t="s">
        <v>184</v>
      </c>
      <c r="L157" s="6" t="s">
        <v>178</v>
      </c>
      <c r="M157" s="6">
        <v>45</v>
      </c>
      <c r="N157" s="6">
        <v>50</v>
      </c>
      <c r="O157" s="6">
        <v>0</v>
      </c>
      <c r="P157" s="6">
        <v>0</v>
      </c>
      <c r="Q157" s="6">
        <v>0</v>
      </c>
      <c r="R157" s="7">
        <v>0</v>
      </c>
    </row>
    <row r="158" spans="2:18" ht="16.5" thickTop="1" thickBot="1">
      <c r="B158" s="142"/>
      <c r="C158" s="5" t="s">
        <v>189</v>
      </c>
      <c r="D158" s="6">
        <v>20</v>
      </c>
      <c r="E158" s="6">
        <v>20</v>
      </c>
      <c r="F158" s="6">
        <v>10</v>
      </c>
      <c r="G158" s="6">
        <v>90</v>
      </c>
      <c r="H158" s="6">
        <v>80</v>
      </c>
      <c r="I158" s="6">
        <v>70</v>
      </c>
      <c r="J158" s="6" t="s">
        <v>184</v>
      </c>
      <c r="K158" s="6" t="s">
        <v>184</v>
      </c>
      <c r="L158" s="6" t="s">
        <v>184</v>
      </c>
      <c r="M158" s="6">
        <v>40</v>
      </c>
      <c r="N158" s="6">
        <v>45</v>
      </c>
      <c r="O158" s="6">
        <v>50</v>
      </c>
      <c r="P158" s="6">
        <v>0</v>
      </c>
      <c r="Q158" s="6">
        <v>0</v>
      </c>
      <c r="R158" s="7">
        <v>0</v>
      </c>
    </row>
    <row r="159" spans="2:18" ht="16.5" thickTop="1" thickBot="1">
      <c r="B159" s="142"/>
      <c r="C159" s="5" t="s">
        <v>190</v>
      </c>
      <c r="D159" s="6">
        <v>50</v>
      </c>
      <c r="E159" s="6">
        <v>45</v>
      </c>
      <c r="F159" s="6">
        <v>20</v>
      </c>
      <c r="G159" s="6">
        <v>90</v>
      </c>
      <c r="H159" s="6">
        <v>80</v>
      </c>
      <c r="I159" s="6">
        <v>70</v>
      </c>
      <c r="J159" s="6" t="s">
        <v>184</v>
      </c>
      <c r="K159" s="6" t="s">
        <v>184</v>
      </c>
      <c r="L159" s="6" t="s">
        <v>184</v>
      </c>
      <c r="M159" s="6">
        <v>45</v>
      </c>
      <c r="N159" s="6">
        <v>50</v>
      </c>
      <c r="O159" s="6">
        <v>50</v>
      </c>
      <c r="P159" s="6">
        <v>0</v>
      </c>
      <c r="Q159" s="6">
        <v>0</v>
      </c>
      <c r="R159" s="7">
        <v>0</v>
      </c>
    </row>
    <row r="160" spans="2:18" ht="16.5" thickTop="1" thickBot="1">
      <c r="B160" s="142"/>
      <c r="C160" s="5" t="s">
        <v>191</v>
      </c>
      <c r="D160" s="6">
        <v>80</v>
      </c>
      <c r="E160" s="6">
        <v>50</v>
      </c>
      <c r="F160" s="6">
        <v>25</v>
      </c>
      <c r="G160" s="6">
        <v>90</v>
      </c>
      <c r="H160" s="6">
        <v>80</v>
      </c>
      <c r="I160" s="6">
        <v>70</v>
      </c>
      <c r="J160" s="6" t="s">
        <v>184</v>
      </c>
      <c r="K160" s="6" t="s">
        <v>184</v>
      </c>
      <c r="L160" s="6" t="s">
        <v>184</v>
      </c>
      <c r="M160" s="6">
        <v>40</v>
      </c>
      <c r="N160" s="6">
        <v>50</v>
      </c>
      <c r="O160" s="6">
        <v>40</v>
      </c>
      <c r="P160" s="6">
        <v>0</v>
      </c>
      <c r="Q160" s="6">
        <v>0</v>
      </c>
      <c r="R160" s="7">
        <v>0</v>
      </c>
    </row>
    <row r="161" spans="2:18" ht="16.5" thickTop="1" thickBot="1">
      <c r="B161" s="142"/>
      <c r="C161" s="5" t="s">
        <v>192</v>
      </c>
      <c r="D161" s="6">
        <v>70</v>
      </c>
      <c r="E161" s="6">
        <v>50</v>
      </c>
      <c r="F161" s="6">
        <v>25</v>
      </c>
      <c r="G161" s="6">
        <v>90</v>
      </c>
      <c r="H161" s="6">
        <v>80</v>
      </c>
      <c r="I161" s="6">
        <v>70</v>
      </c>
      <c r="J161" s="6" t="s">
        <v>184</v>
      </c>
      <c r="K161" s="6" t="s">
        <v>184</v>
      </c>
      <c r="L161" s="6" t="s">
        <v>184</v>
      </c>
      <c r="M161" s="6">
        <v>35</v>
      </c>
      <c r="N161" s="6">
        <v>45</v>
      </c>
      <c r="O161" s="6">
        <v>40</v>
      </c>
      <c r="P161" s="6">
        <v>0</v>
      </c>
      <c r="Q161" s="6">
        <v>0</v>
      </c>
      <c r="R161" s="7">
        <v>0</v>
      </c>
    </row>
    <row r="162" spans="2:18" ht="16.5" thickTop="1" thickBot="1">
      <c r="B162" s="142"/>
      <c r="C162" s="5" t="s">
        <v>193</v>
      </c>
      <c r="D162" s="6">
        <v>40</v>
      </c>
      <c r="E162" s="6">
        <v>35</v>
      </c>
      <c r="F162" s="6">
        <v>15</v>
      </c>
      <c r="G162" s="6">
        <v>90</v>
      </c>
      <c r="H162" s="6">
        <v>80</v>
      </c>
      <c r="I162" s="6">
        <v>70</v>
      </c>
      <c r="J162" s="6" t="s">
        <v>184</v>
      </c>
      <c r="K162" s="6" t="s">
        <v>184</v>
      </c>
      <c r="L162" s="6" t="s">
        <v>184</v>
      </c>
      <c r="M162" s="6">
        <v>30</v>
      </c>
      <c r="N162" s="6">
        <v>40</v>
      </c>
      <c r="O162" s="6">
        <v>30</v>
      </c>
      <c r="P162" s="6">
        <v>0</v>
      </c>
      <c r="Q162" s="6">
        <v>0</v>
      </c>
      <c r="R162" s="7">
        <v>0</v>
      </c>
    </row>
    <row r="163" spans="2:18" ht="16.5" thickTop="1" thickBot="1">
      <c r="B163" s="142"/>
      <c r="C163" s="5" t="s">
        <v>194</v>
      </c>
      <c r="D163" s="6">
        <v>20</v>
      </c>
      <c r="E163" s="6">
        <v>30</v>
      </c>
      <c r="F163" s="6">
        <v>20</v>
      </c>
      <c r="G163" s="6">
        <v>90</v>
      </c>
      <c r="H163" s="6">
        <v>80</v>
      </c>
      <c r="I163" s="6">
        <v>70</v>
      </c>
      <c r="J163" s="6" t="s">
        <v>184</v>
      </c>
      <c r="K163" s="6" t="s">
        <v>184</v>
      </c>
      <c r="L163" s="6" t="s">
        <v>184</v>
      </c>
      <c r="M163" s="6">
        <v>30</v>
      </c>
      <c r="N163" s="6">
        <v>40</v>
      </c>
      <c r="O163" s="6">
        <v>30</v>
      </c>
      <c r="P163" s="6">
        <v>0</v>
      </c>
      <c r="Q163" s="6">
        <v>0</v>
      </c>
      <c r="R163" s="7">
        <v>0</v>
      </c>
    </row>
    <row r="164" spans="2:18" ht="16.5" thickTop="1" thickBot="1">
      <c r="B164" s="142"/>
      <c r="C164" s="5" t="s">
        <v>195</v>
      </c>
      <c r="D164" s="6">
        <v>25</v>
      </c>
      <c r="E164" s="6">
        <v>30</v>
      </c>
      <c r="F164" s="6">
        <v>25</v>
      </c>
      <c r="G164" s="6">
        <v>90</v>
      </c>
      <c r="H164" s="6">
        <v>80</v>
      </c>
      <c r="I164" s="6">
        <v>60</v>
      </c>
      <c r="J164" s="6" t="s">
        <v>184</v>
      </c>
      <c r="K164" s="6" t="s">
        <v>184</v>
      </c>
      <c r="L164" s="6" t="s">
        <v>184</v>
      </c>
      <c r="M164" s="6">
        <v>30</v>
      </c>
      <c r="N164" s="6">
        <v>35</v>
      </c>
      <c r="O164" s="6">
        <v>30</v>
      </c>
      <c r="P164" s="6">
        <v>0</v>
      </c>
      <c r="Q164" s="6">
        <v>0</v>
      </c>
      <c r="R164" s="7">
        <v>0</v>
      </c>
    </row>
    <row r="165" spans="2:18" ht="16.5" thickTop="1" thickBot="1">
      <c r="B165" s="142"/>
      <c r="C165" s="5" t="s">
        <v>196</v>
      </c>
      <c r="D165" s="6">
        <v>50</v>
      </c>
      <c r="E165" s="6">
        <v>30</v>
      </c>
      <c r="F165" s="6">
        <v>35</v>
      </c>
      <c r="G165" s="6">
        <v>90</v>
      </c>
      <c r="H165" s="6">
        <v>90</v>
      </c>
      <c r="I165" s="6">
        <v>60</v>
      </c>
      <c r="J165" s="6" t="s">
        <v>184</v>
      </c>
      <c r="K165" s="6" t="s">
        <v>184</v>
      </c>
      <c r="L165" s="6" t="s">
        <v>184</v>
      </c>
      <c r="M165" s="6">
        <v>40</v>
      </c>
      <c r="N165" s="6">
        <v>40</v>
      </c>
      <c r="O165" s="6">
        <v>40</v>
      </c>
      <c r="P165" s="6">
        <v>0</v>
      </c>
      <c r="Q165" s="6">
        <v>0</v>
      </c>
      <c r="R165" s="7">
        <v>0</v>
      </c>
    </row>
    <row r="166" spans="2:18" ht="16.5" thickTop="1" thickBot="1">
      <c r="B166" s="142"/>
      <c r="C166" s="5" t="s">
        <v>197</v>
      </c>
      <c r="D166" s="6">
        <v>80</v>
      </c>
      <c r="E166" s="6">
        <v>70</v>
      </c>
      <c r="F166" s="6">
        <v>55</v>
      </c>
      <c r="G166" s="6">
        <v>90</v>
      </c>
      <c r="H166" s="6">
        <v>90</v>
      </c>
      <c r="I166" s="6">
        <v>60</v>
      </c>
      <c r="J166" s="6" t="s">
        <v>184</v>
      </c>
      <c r="K166" s="6" t="s">
        <v>184</v>
      </c>
      <c r="L166" s="6" t="s">
        <v>184</v>
      </c>
      <c r="M166" s="6">
        <v>55</v>
      </c>
      <c r="N166" s="6">
        <v>55</v>
      </c>
      <c r="O166" s="6">
        <v>50</v>
      </c>
      <c r="P166" s="6">
        <v>0</v>
      </c>
      <c r="Q166" s="6">
        <v>0</v>
      </c>
      <c r="R166" s="7">
        <v>0</v>
      </c>
    </row>
    <row r="167" spans="2:18" ht="16.5" thickTop="1" thickBot="1">
      <c r="B167" s="142"/>
      <c r="C167" s="5" t="s">
        <v>198</v>
      </c>
      <c r="D167" s="6">
        <v>80</v>
      </c>
      <c r="E167" s="6">
        <v>90</v>
      </c>
      <c r="F167" s="6">
        <v>65</v>
      </c>
      <c r="G167" s="6">
        <v>90</v>
      </c>
      <c r="H167" s="6">
        <v>90</v>
      </c>
      <c r="I167" s="6">
        <v>60</v>
      </c>
      <c r="J167" s="6" t="s">
        <v>184</v>
      </c>
      <c r="K167" s="6" t="s">
        <v>184</v>
      </c>
      <c r="L167" s="6" t="s">
        <v>184</v>
      </c>
      <c r="M167" s="6">
        <v>60</v>
      </c>
      <c r="N167" s="6">
        <v>55</v>
      </c>
      <c r="O167" s="6">
        <v>50</v>
      </c>
      <c r="P167" s="6">
        <v>0</v>
      </c>
      <c r="Q167" s="6">
        <v>0</v>
      </c>
      <c r="R167" s="7">
        <v>0</v>
      </c>
    </row>
    <row r="168" spans="2:18" ht="16.5" thickTop="1" thickBot="1">
      <c r="B168" s="142"/>
      <c r="C168" s="5" t="s">
        <v>199</v>
      </c>
      <c r="D168" s="6">
        <v>80</v>
      </c>
      <c r="E168" s="6">
        <v>70</v>
      </c>
      <c r="F168" s="6">
        <v>70</v>
      </c>
      <c r="G168" s="6">
        <v>90</v>
      </c>
      <c r="H168" s="6">
        <v>90</v>
      </c>
      <c r="I168" s="6">
        <v>60</v>
      </c>
      <c r="J168" s="6" t="s">
        <v>184</v>
      </c>
      <c r="K168" s="6" t="s">
        <v>184</v>
      </c>
      <c r="L168" s="6" t="s">
        <v>184</v>
      </c>
      <c r="M168" s="6">
        <v>50</v>
      </c>
      <c r="N168" s="6">
        <v>50</v>
      </c>
      <c r="O168" s="6">
        <v>40</v>
      </c>
      <c r="P168" s="6">
        <v>0</v>
      </c>
      <c r="Q168" s="6">
        <v>0</v>
      </c>
      <c r="R168" s="7">
        <v>0</v>
      </c>
    </row>
    <row r="169" spans="2:18" ht="16.5" thickTop="1" thickBot="1">
      <c r="B169" s="142"/>
      <c r="C169" s="5" t="s">
        <v>200</v>
      </c>
      <c r="D169" s="6">
        <v>50</v>
      </c>
      <c r="E169" s="6">
        <v>65</v>
      </c>
      <c r="F169" s="6">
        <v>35</v>
      </c>
      <c r="G169" s="6">
        <v>90</v>
      </c>
      <c r="H169" s="6">
        <v>90</v>
      </c>
      <c r="I169" s="6">
        <v>60</v>
      </c>
      <c r="J169" s="6" t="s">
        <v>184</v>
      </c>
      <c r="K169" s="6" t="s">
        <v>184</v>
      </c>
      <c r="L169" s="6" t="s">
        <v>184</v>
      </c>
      <c r="M169" s="6">
        <v>55</v>
      </c>
      <c r="N169" s="6">
        <v>55</v>
      </c>
      <c r="O169" s="6">
        <v>50</v>
      </c>
      <c r="P169" s="6">
        <v>0</v>
      </c>
      <c r="Q169" s="6">
        <v>0</v>
      </c>
      <c r="R169" s="7">
        <v>0</v>
      </c>
    </row>
    <row r="170" spans="2:18" ht="16.5" thickTop="1" thickBot="1">
      <c r="B170" s="142"/>
      <c r="C170" s="5" t="s">
        <v>201</v>
      </c>
      <c r="D170" s="6">
        <v>35</v>
      </c>
      <c r="E170" s="6">
        <v>55</v>
      </c>
      <c r="F170" s="6">
        <v>20</v>
      </c>
      <c r="G170" s="6">
        <v>50</v>
      </c>
      <c r="H170" s="6">
        <v>50</v>
      </c>
      <c r="I170" s="6">
        <v>50</v>
      </c>
      <c r="J170" s="6" t="s">
        <v>184</v>
      </c>
      <c r="K170" s="6" t="s">
        <v>184</v>
      </c>
      <c r="L170" s="6" t="s">
        <v>184</v>
      </c>
      <c r="M170" s="6">
        <v>45</v>
      </c>
      <c r="N170" s="6">
        <v>40</v>
      </c>
      <c r="O170" s="6">
        <v>40</v>
      </c>
      <c r="P170" s="6">
        <v>0</v>
      </c>
      <c r="Q170" s="6">
        <v>0</v>
      </c>
      <c r="R170" s="7">
        <v>0</v>
      </c>
    </row>
    <row r="171" spans="2:18" ht="16.5" thickTop="1" thickBot="1">
      <c r="B171" s="142"/>
      <c r="C171" s="8" t="s">
        <v>202</v>
      </c>
      <c r="D171" s="9">
        <v>20</v>
      </c>
      <c r="E171" s="9">
        <v>35</v>
      </c>
      <c r="F171" s="9">
        <v>20</v>
      </c>
      <c r="G171" s="9">
        <v>30</v>
      </c>
      <c r="H171" s="9">
        <v>30</v>
      </c>
      <c r="I171" s="9">
        <v>30</v>
      </c>
      <c r="J171" s="9" t="s">
        <v>184</v>
      </c>
      <c r="K171" s="9" t="s">
        <v>184</v>
      </c>
      <c r="L171" s="9" t="s">
        <v>184</v>
      </c>
      <c r="M171" s="9">
        <v>25</v>
      </c>
      <c r="N171" s="9">
        <v>30</v>
      </c>
      <c r="O171" s="9">
        <v>20</v>
      </c>
      <c r="P171" s="9">
        <v>0</v>
      </c>
      <c r="Q171" s="9">
        <v>0</v>
      </c>
      <c r="R171" s="10">
        <v>0</v>
      </c>
    </row>
    <row r="172" spans="2:18" ht="16.5" thickTop="1" thickBot="1">
      <c r="B172" s="142" t="s">
        <v>219</v>
      </c>
      <c r="C172" s="2" t="s">
        <v>177</v>
      </c>
      <c r="D172" s="3">
        <v>0</v>
      </c>
      <c r="E172" s="3">
        <v>0</v>
      </c>
      <c r="F172" s="3">
        <v>0</v>
      </c>
      <c r="G172" s="3">
        <v>5</v>
      </c>
      <c r="H172" s="3">
        <v>5</v>
      </c>
      <c r="I172" s="3">
        <v>5</v>
      </c>
      <c r="J172" s="3" t="s">
        <v>178</v>
      </c>
      <c r="K172" s="3" t="s">
        <v>178</v>
      </c>
      <c r="L172" s="3" t="s">
        <v>178</v>
      </c>
      <c r="M172" s="3">
        <v>4</v>
      </c>
      <c r="N172" s="3">
        <v>11</v>
      </c>
      <c r="O172" s="3">
        <v>7</v>
      </c>
      <c r="P172" s="3">
        <v>0</v>
      </c>
      <c r="Q172" s="3">
        <v>0</v>
      </c>
      <c r="R172" s="4">
        <v>0</v>
      </c>
    </row>
    <row r="173" spans="2:18" ht="16.5" thickTop="1" thickBot="1">
      <c r="B173" s="142"/>
      <c r="C173" s="5" t="s">
        <v>179</v>
      </c>
      <c r="D173" s="6">
        <v>0</v>
      </c>
      <c r="E173" s="6">
        <v>0</v>
      </c>
      <c r="F173" s="6">
        <v>0</v>
      </c>
      <c r="G173" s="6">
        <v>5</v>
      </c>
      <c r="H173" s="6">
        <v>5</v>
      </c>
      <c r="I173" s="6">
        <v>5</v>
      </c>
      <c r="J173" s="6" t="s">
        <v>178</v>
      </c>
      <c r="K173" s="6" t="s">
        <v>178</v>
      </c>
      <c r="L173" s="6" t="s">
        <v>178</v>
      </c>
      <c r="M173" s="6">
        <v>5</v>
      </c>
      <c r="N173" s="6">
        <v>10</v>
      </c>
      <c r="O173" s="6">
        <v>7</v>
      </c>
      <c r="P173" s="6">
        <v>0</v>
      </c>
      <c r="Q173" s="6">
        <v>0</v>
      </c>
      <c r="R173" s="7">
        <v>0</v>
      </c>
    </row>
    <row r="174" spans="2:18" ht="16.5" thickTop="1" thickBot="1">
      <c r="B174" s="142"/>
      <c r="C174" s="5" t="s">
        <v>180</v>
      </c>
      <c r="D174" s="6">
        <v>0</v>
      </c>
      <c r="E174" s="6">
        <v>0</v>
      </c>
      <c r="F174" s="6">
        <v>0</v>
      </c>
      <c r="G174" s="6">
        <v>5</v>
      </c>
      <c r="H174" s="6">
        <v>5</v>
      </c>
      <c r="I174" s="6">
        <v>5</v>
      </c>
      <c r="J174" s="6" t="s">
        <v>178</v>
      </c>
      <c r="K174" s="6" t="s">
        <v>178</v>
      </c>
      <c r="L174" s="6" t="s">
        <v>178</v>
      </c>
      <c r="M174" s="6">
        <v>5</v>
      </c>
      <c r="N174" s="6">
        <v>8</v>
      </c>
      <c r="O174" s="6">
        <v>7</v>
      </c>
      <c r="P174" s="6">
        <v>0</v>
      </c>
      <c r="Q174" s="6">
        <v>0</v>
      </c>
      <c r="R174" s="7">
        <v>0</v>
      </c>
    </row>
    <row r="175" spans="2:18" ht="16.5" thickTop="1" thickBot="1">
      <c r="B175" s="142"/>
      <c r="C175" s="5" t="s">
        <v>181</v>
      </c>
      <c r="D175" s="6">
        <v>0</v>
      </c>
      <c r="E175" s="6">
        <v>0</v>
      </c>
      <c r="F175" s="6">
        <v>0</v>
      </c>
      <c r="G175" s="6">
        <v>5</v>
      </c>
      <c r="H175" s="6">
        <v>5</v>
      </c>
      <c r="I175" s="6">
        <v>5</v>
      </c>
      <c r="J175" s="6" t="s">
        <v>178</v>
      </c>
      <c r="K175" s="6" t="s">
        <v>178</v>
      </c>
      <c r="L175" s="6" t="s">
        <v>178</v>
      </c>
      <c r="M175" s="6">
        <v>4</v>
      </c>
      <c r="N175" s="6">
        <v>6</v>
      </c>
      <c r="O175" s="6">
        <v>6</v>
      </c>
      <c r="P175" s="6">
        <v>0</v>
      </c>
      <c r="Q175" s="6">
        <v>0</v>
      </c>
      <c r="R175" s="7">
        <v>0</v>
      </c>
    </row>
    <row r="176" spans="2:18" ht="16.5" thickTop="1" thickBot="1">
      <c r="B176" s="142"/>
      <c r="C176" s="5" t="s">
        <v>182</v>
      </c>
      <c r="D176" s="6">
        <v>0</v>
      </c>
      <c r="E176" s="6">
        <v>0</v>
      </c>
      <c r="F176" s="6">
        <v>0</v>
      </c>
      <c r="G176" s="6">
        <v>5</v>
      </c>
      <c r="H176" s="6">
        <v>5</v>
      </c>
      <c r="I176" s="6">
        <v>5</v>
      </c>
      <c r="J176" s="6" t="s">
        <v>178</v>
      </c>
      <c r="K176" s="6" t="s">
        <v>178</v>
      </c>
      <c r="L176" s="6" t="s">
        <v>178</v>
      </c>
      <c r="M176" s="6">
        <v>4</v>
      </c>
      <c r="N176" s="6">
        <v>6</v>
      </c>
      <c r="O176" s="6">
        <v>6</v>
      </c>
      <c r="P176" s="6">
        <v>0</v>
      </c>
      <c r="Q176" s="6">
        <v>0</v>
      </c>
      <c r="R176" s="7">
        <v>0</v>
      </c>
    </row>
    <row r="177" spans="2:18" ht="16.5" thickTop="1" thickBot="1">
      <c r="B177" s="142"/>
      <c r="C177" s="5" t="s">
        <v>183</v>
      </c>
      <c r="D177" s="6">
        <v>0</v>
      </c>
      <c r="E177" s="6">
        <v>0</v>
      </c>
      <c r="F177" s="6">
        <v>0</v>
      </c>
      <c r="G177" s="6">
        <v>5</v>
      </c>
      <c r="H177" s="6">
        <v>5</v>
      </c>
      <c r="I177" s="6">
        <v>5</v>
      </c>
      <c r="J177" s="6" t="s">
        <v>178</v>
      </c>
      <c r="K177" s="6" t="s">
        <v>178</v>
      </c>
      <c r="L177" s="6" t="s">
        <v>178</v>
      </c>
      <c r="M177" s="6">
        <v>4</v>
      </c>
      <c r="N177" s="6">
        <v>6</v>
      </c>
      <c r="O177" s="6">
        <v>6</v>
      </c>
      <c r="P177" s="6">
        <v>0</v>
      </c>
      <c r="Q177" s="6">
        <v>0</v>
      </c>
      <c r="R177" s="7">
        <v>0</v>
      </c>
    </row>
    <row r="178" spans="2:18" ht="16.5" thickTop="1" thickBot="1">
      <c r="B178" s="142"/>
      <c r="C178" s="5" t="s">
        <v>185</v>
      </c>
      <c r="D178" s="6">
        <v>0</v>
      </c>
      <c r="E178" s="6">
        <v>0</v>
      </c>
      <c r="F178" s="6">
        <v>0</v>
      </c>
      <c r="G178" s="6">
        <v>5</v>
      </c>
      <c r="H178" s="6">
        <v>5</v>
      </c>
      <c r="I178" s="6">
        <v>5</v>
      </c>
      <c r="J178" s="6" t="s">
        <v>184</v>
      </c>
      <c r="K178" s="6" t="s">
        <v>184</v>
      </c>
      <c r="L178" s="6" t="s">
        <v>178</v>
      </c>
      <c r="M178" s="6">
        <v>4</v>
      </c>
      <c r="N178" s="6">
        <v>7</v>
      </c>
      <c r="O178" s="6">
        <v>7</v>
      </c>
      <c r="P178" s="6">
        <v>0</v>
      </c>
      <c r="Q178" s="6">
        <v>0</v>
      </c>
      <c r="R178" s="7">
        <v>0</v>
      </c>
    </row>
    <row r="179" spans="2:18" ht="16.5" thickTop="1" thickBot="1">
      <c r="B179" s="142"/>
      <c r="C179" s="5" t="s">
        <v>186</v>
      </c>
      <c r="D179" s="6">
        <v>10</v>
      </c>
      <c r="E179" s="6">
        <v>10</v>
      </c>
      <c r="F179" s="6">
        <v>0</v>
      </c>
      <c r="G179" s="6">
        <v>20</v>
      </c>
      <c r="H179" s="6">
        <v>10</v>
      </c>
      <c r="I179" s="6">
        <v>5</v>
      </c>
      <c r="J179" s="6" t="s">
        <v>184</v>
      </c>
      <c r="K179" s="6" t="s">
        <v>184</v>
      </c>
      <c r="L179" s="6" t="s">
        <v>178</v>
      </c>
      <c r="M179" s="6">
        <v>15</v>
      </c>
      <c r="N179" s="6">
        <v>20</v>
      </c>
      <c r="O179" s="6">
        <v>10</v>
      </c>
      <c r="P179" s="6">
        <v>12</v>
      </c>
      <c r="Q179" s="6">
        <v>9</v>
      </c>
      <c r="R179" s="7">
        <v>0</v>
      </c>
    </row>
    <row r="180" spans="2:18" ht="16.5" thickTop="1" thickBot="1">
      <c r="B180" s="142"/>
      <c r="C180" s="5" t="s">
        <v>187</v>
      </c>
      <c r="D180" s="6">
        <v>20</v>
      </c>
      <c r="E180" s="6">
        <v>20</v>
      </c>
      <c r="F180" s="6">
        <v>0</v>
      </c>
      <c r="G180" s="6">
        <v>50</v>
      </c>
      <c r="H180" s="6">
        <v>30</v>
      </c>
      <c r="I180" s="6">
        <v>10</v>
      </c>
      <c r="J180" s="6" t="s">
        <v>184</v>
      </c>
      <c r="K180" s="6" t="s">
        <v>184</v>
      </c>
      <c r="L180" s="6" t="s">
        <v>184</v>
      </c>
      <c r="M180" s="6">
        <v>23</v>
      </c>
      <c r="N180" s="6">
        <v>24</v>
      </c>
      <c r="O180" s="6">
        <v>12</v>
      </c>
      <c r="P180" s="6">
        <v>22</v>
      </c>
      <c r="Q180" s="6">
        <v>21</v>
      </c>
      <c r="R180" s="7">
        <v>0</v>
      </c>
    </row>
    <row r="181" spans="2:18" ht="16.5" thickTop="1" thickBot="1">
      <c r="B181" s="142"/>
      <c r="C181" s="5" t="s">
        <v>188</v>
      </c>
      <c r="D181" s="6">
        <v>50</v>
      </c>
      <c r="E181" s="6">
        <v>50</v>
      </c>
      <c r="F181" s="6">
        <v>10</v>
      </c>
      <c r="G181" s="6">
        <v>90</v>
      </c>
      <c r="H181" s="6">
        <v>60</v>
      </c>
      <c r="I181" s="6">
        <v>10</v>
      </c>
      <c r="J181" s="6" t="s">
        <v>184</v>
      </c>
      <c r="K181" s="6" t="s">
        <v>184</v>
      </c>
      <c r="L181" s="6" t="s">
        <v>184</v>
      </c>
      <c r="M181" s="6">
        <v>32</v>
      </c>
      <c r="N181" s="6">
        <v>27</v>
      </c>
      <c r="O181" s="6">
        <v>14</v>
      </c>
      <c r="P181" s="6">
        <v>64</v>
      </c>
      <c r="Q181" s="6">
        <v>56</v>
      </c>
      <c r="R181" s="7">
        <v>11</v>
      </c>
    </row>
    <row r="182" spans="2:18" ht="16.5" thickTop="1" thickBot="1">
      <c r="B182" s="142"/>
      <c r="C182" s="5" t="s">
        <v>189</v>
      </c>
      <c r="D182" s="6">
        <v>50</v>
      </c>
      <c r="E182" s="6">
        <v>60</v>
      </c>
      <c r="F182" s="6">
        <v>20</v>
      </c>
      <c r="G182" s="6">
        <v>90</v>
      </c>
      <c r="H182" s="6">
        <v>90</v>
      </c>
      <c r="I182" s="6">
        <v>40</v>
      </c>
      <c r="J182" s="6" t="s">
        <v>184</v>
      </c>
      <c r="K182" s="6" t="s">
        <v>184</v>
      </c>
      <c r="L182" s="6" t="s">
        <v>184</v>
      </c>
      <c r="M182" s="6">
        <v>41</v>
      </c>
      <c r="N182" s="6">
        <v>42</v>
      </c>
      <c r="O182" s="6">
        <v>29</v>
      </c>
      <c r="P182" s="6">
        <v>74</v>
      </c>
      <c r="Q182" s="6">
        <v>66</v>
      </c>
      <c r="R182" s="7">
        <v>13</v>
      </c>
    </row>
    <row r="183" spans="2:18" ht="16.5" thickTop="1" thickBot="1">
      <c r="B183" s="142"/>
      <c r="C183" s="5" t="s">
        <v>190</v>
      </c>
      <c r="D183" s="6">
        <v>70</v>
      </c>
      <c r="E183" s="6">
        <v>80</v>
      </c>
      <c r="F183" s="6">
        <v>20</v>
      </c>
      <c r="G183" s="6">
        <v>90</v>
      </c>
      <c r="H183" s="6">
        <v>90</v>
      </c>
      <c r="I183" s="6">
        <v>40</v>
      </c>
      <c r="J183" s="6" t="s">
        <v>184</v>
      </c>
      <c r="K183" s="6" t="s">
        <v>184</v>
      </c>
      <c r="L183" s="6" t="s">
        <v>184</v>
      </c>
      <c r="M183" s="6">
        <v>57</v>
      </c>
      <c r="N183" s="6">
        <v>54</v>
      </c>
      <c r="O183" s="6">
        <v>31</v>
      </c>
      <c r="P183" s="6">
        <v>68</v>
      </c>
      <c r="Q183" s="6">
        <v>68</v>
      </c>
      <c r="R183" s="7">
        <v>35</v>
      </c>
    </row>
    <row r="184" spans="2:18" ht="16.5" thickTop="1" thickBot="1">
      <c r="B184" s="142"/>
      <c r="C184" s="5" t="s">
        <v>191</v>
      </c>
      <c r="D184" s="6">
        <v>70</v>
      </c>
      <c r="E184" s="6">
        <v>80</v>
      </c>
      <c r="F184" s="6">
        <v>40</v>
      </c>
      <c r="G184" s="6">
        <v>90</v>
      </c>
      <c r="H184" s="6">
        <v>90</v>
      </c>
      <c r="I184" s="6">
        <v>60</v>
      </c>
      <c r="J184" s="6" t="s">
        <v>184</v>
      </c>
      <c r="K184" s="6" t="s">
        <v>184</v>
      </c>
      <c r="L184" s="6" t="s">
        <v>184</v>
      </c>
      <c r="M184" s="6">
        <v>62</v>
      </c>
      <c r="N184" s="6">
        <v>59</v>
      </c>
      <c r="O184" s="6">
        <v>36</v>
      </c>
      <c r="P184" s="6">
        <v>68</v>
      </c>
      <c r="Q184" s="6">
        <v>68</v>
      </c>
      <c r="R184" s="7">
        <v>37</v>
      </c>
    </row>
    <row r="185" spans="2:18" ht="16.5" thickTop="1" thickBot="1">
      <c r="B185" s="142"/>
      <c r="C185" s="5" t="s">
        <v>192</v>
      </c>
      <c r="D185" s="6">
        <v>70</v>
      </c>
      <c r="E185" s="6">
        <v>80</v>
      </c>
      <c r="F185" s="6">
        <v>40</v>
      </c>
      <c r="G185" s="6">
        <v>90</v>
      </c>
      <c r="H185" s="6">
        <v>90</v>
      </c>
      <c r="I185" s="6">
        <v>60</v>
      </c>
      <c r="J185" s="6" t="s">
        <v>184</v>
      </c>
      <c r="K185" s="6" t="s">
        <v>184</v>
      </c>
      <c r="L185" s="6" t="s">
        <v>184</v>
      </c>
      <c r="M185" s="6">
        <v>61</v>
      </c>
      <c r="N185" s="6">
        <v>60</v>
      </c>
      <c r="O185" s="6">
        <v>36</v>
      </c>
      <c r="P185" s="6">
        <v>71</v>
      </c>
      <c r="Q185" s="6">
        <v>69</v>
      </c>
      <c r="R185" s="7">
        <v>37</v>
      </c>
    </row>
    <row r="186" spans="2:18" ht="16.5" thickTop="1" thickBot="1">
      <c r="B186" s="142"/>
      <c r="C186" s="5" t="s">
        <v>193</v>
      </c>
      <c r="D186" s="6">
        <v>70</v>
      </c>
      <c r="E186" s="6">
        <v>80</v>
      </c>
      <c r="F186" s="6">
        <v>40</v>
      </c>
      <c r="G186" s="6">
        <v>90</v>
      </c>
      <c r="H186" s="6">
        <v>90</v>
      </c>
      <c r="I186" s="6">
        <v>60</v>
      </c>
      <c r="J186" s="6" t="s">
        <v>184</v>
      </c>
      <c r="K186" s="6" t="s">
        <v>184</v>
      </c>
      <c r="L186" s="6" t="s">
        <v>184</v>
      </c>
      <c r="M186" s="6">
        <v>50</v>
      </c>
      <c r="N186" s="6">
        <v>49</v>
      </c>
      <c r="O186" s="6">
        <v>34</v>
      </c>
      <c r="P186" s="6">
        <v>72</v>
      </c>
      <c r="Q186" s="6">
        <v>70</v>
      </c>
      <c r="R186" s="7">
        <v>39</v>
      </c>
    </row>
    <row r="187" spans="2:18" ht="16.5" thickTop="1" thickBot="1">
      <c r="B187" s="142"/>
      <c r="C187" s="5" t="s">
        <v>194</v>
      </c>
      <c r="D187" s="6">
        <v>80</v>
      </c>
      <c r="E187" s="6">
        <v>80</v>
      </c>
      <c r="F187" s="6">
        <v>40</v>
      </c>
      <c r="G187" s="6">
        <v>90</v>
      </c>
      <c r="H187" s="6">
        <v>90</v>
      </c>
      <c r="I187" s="6">
        <v>60</v>
      </c>
      <c r="J187" s="6" t="s">
        <v>184</v>
      </c>
      <c r="K187" s="6" t="s">
        <v>184</v>
      </c>
      <c r="L187" s="6" t="s">
        <v>184</v>
      </c>
      <c r="M187" s="6">
        <v>45</v>
      </c>
      <c r="N187" s="6">
        <v>48</v>
      </c>
      <c r="O187" s="6">
        <v>35</v>
      </c>
      <c r="P187" s="6">
        <v>72</v>
      </c>
      <c r="Q187" s="6">
        <v>69</v>
      </c>
      <c r="R187" s="7">
        <v>41</v>
      </c>
    </row>
    <row r="188" spans="2:18" ht="16.5" thickTop="1" thickBot="1">
      <c r="B188" s="142"/>
      <c r="C188" s="5" t="s">
        <v>195</v>
      </c>
      <c r="D188" s="6">
        <v>70</v>
      </c>
      <c r="E188" s="6">
        <v>80</v>
      </c>
      <c r="F188" s="6">
        <v>40</v>
      </c>
      <c r="G188" s="6">
        <v>90</v>
      </c>
      <c r="H188" s="6">
        <v>90</v>
      </c>
      <c r="I188" s="6">
        <v>60</v>
      </c>
      <c r="J188" s="6" t="s">
        <v>184</v>
      </c>
      <c r="K188" s="6" t="s">
        <v>184</v>
      </c>
      <c r="L188" s="6" t="s">
        <v>184</v>
      </c>
      <c r="M188" s="6">
        <v>46</v>
      </c>
      <c r="N188" s="6">
        <v>47</v>
      </c>
      <c r="O188" s="6">
        <v>37</v>
      </c>
      <c r="P188" s="6">
        <v>73</v>
      </c>
      <c r="Q188" s="6">
        <v>66</v>
      </c>
      <c r="R188" s="7">
        <v>38</v>
      </c>
    </row>
    <row r="189" spans="2:18" ht="16.5" thickTop="1" thickBot="1">
      <c r="B189" s="142"/>
      <c r="C189" s="5" t="s">
        <v>196</v>
      </c>
      <c r="D189" s="6">
        <v>50</v>
      </c>
      <c r="E189" s="6">
        <v>60</v>
      </c>
      <c r="F189" s="6">
        <v>20</v>
      </c>
      <c r="G189" s="6">
        <v>90</v>
      </c>
      <c r="H189" s="6">
        <v>90</v>
      </c>
      <c r="I189" s="6">
        <v>40</v>
      </c>
      <c r="J189" s="6" t="s">
        <v>184</v>
      </c>
      <c r="K189" s="6" t="s">
        <v>184</v>
      </c>
      <c r="L189" s="6" t="s">
        <v>178</v>
      </c>
      <c r="M189" s="6">
        <v>47</v>
      </c>
      <c r="N189" s="6">
        <v>46</v>
      </c>
      <c r="O189" s="6">
        <v>34</v>
      </c>
      <c r="P189" s="6">
        <v>68</v>
      </c>
      <c r="Q189" s="6">
        <v>58</v>
      </c>
      <c r="R189" s="7">
        <v>34</v>
      </c>
    </row>
    <row r="190" spans="2:18" ht="16.5" thickTop="1" thickBot="1">
      <c r="B190" s="142"/>
      <c r="C190" s="5" t="s">
        <v>197</v>
      </c>
      <c r="D190" s="6">
        <v>50</v>
      </c>
      <c r="E190" s="6">
        <v>20</v>
      </c>
      <c r="F190" s="6">
        <v>10</v>
      </c>
      <c r="G190" s="6">
        <v>60</v>
      </c>
      <c r="H190" s="6">
        <v>50</v>
      </c>
      <c r="I190" s="6">
        <v>20</v>
      </c>
      <c r="J190" s="6" t="s">
        <v>184</v>
      </c>
      <c r="K190" s="6" t="s">
        <v>184</v>
      </c>
      <c r="L190" s="6" t="s">
        <v>178</v>
      </c>
      <c r="M190" s="6">
        <v>42</v>
      </c>
      <c r="N190" s="6">
        <v>44</v>
      </c>
      <c r="O190" s="6">
        <v>25</v>
      </c>
      <c r="P190" s="6">
        <v>68</v>
      </c>
      <c r="Q190" s="6">
        <v>47</v>
      </c>
      <c r="R190" s="7">
        <v>3</v>
      </c>
    </row>
    <row r="191" spans="2:18" ht="16.5" thickTop="1" thickBot="1">
      <c r="B191" s="142"/>
      <c r="C191" s="5" t="s">
        <v>198</v>
      </c>
      <c r="D191" s="6">
        <v>30</v>
      </c>
      <c r="E191" s="6">
        <v>20</v>
      </c>
      <c r="F191" s="6">
        <v>0</v>
      </c>
      <c r="G191" s="6">
        <v>60</v>
      </c>
      <c r="H191" s="6">
        <v>30</v>
      </c>
      <c r="I191" s="6">
        <v>5</v>
      </c>
      <c r="J191" s="6" t="s">
        <v>184</v>
      </c>
      <c r="K191" s="6" t="s">
        <v>184</v>
      </c>
      <c r="L191" s="6" t="s">
        <v>178</v>
      </c>
      <c r="M191" s="6">
        <v>34</v>
      </c>
      <c r="N191" s="6">
        <v>36</v>
      </c>
      <c r="O191" s="6">
        <v>27</v>
      </c>
      <c r="P191" s="6">
        <v>58</v>
      </c>
      <c r="Q191" s="6">
        <v>43</v>
      </c>
      <c r="R191" s="7">
        <v>0</v>
      </c>
    </row>
    <row r="192" spans="2:18" ht="16.5" thickTop="1" thickBot="1">
      <c r="B192" s="142"/>
      <c r="C192" s="5" t="s">
        <v>199</v>
      </c>
      <c r="D192" s="6">
        <v>30</v>
      </c>
      <c r="E192" s="6">
        <v>20</v>
      </c>
      <c r="F192" s="6">
        <v>0</v>
      </c>
      <c r="G192" s="6">
        <v>50</v>
      </c>
      <c r="H192" s="6">
        <v>30</v>
      </c>
      <c r="I192" s="6">
        <v>5</v>
      </c>
      <c r="J192" s="6" t="s">
        <v>184</v>
      </c>
      <c r="K192" s="6" t="s">
        <v>184</v>
      </c>
      <c r="L192" s="6" t="s">
        <v>178</v>
      </c>
      <c r="M192" s="6">
        <v>33</v>
      </c>
      <c r="N192" s="6">
        <v>29</v>
      </c>
      <c r="O192" s="6">
        <v>21</v>
      </c>
      <c r="P192" s="6">
        <v>54</v>
      </c>
      <c r="Q192" s="6">
        <v>43</v>
      </c>
      <c r="R192" s="7">
        <v>0</v>
      </c>
    </row>
    <row r="193" spans="2:18" ht="16.5" thickTop="1" thickBot="1">
      <c r="B193" s="142"/>
      <c r="C193" s="5" t="s">
        <v>200</v>
      </c>
      <c r="D193" s="6">
        <v>0</v>
      </c>
      <c r="E193" s="6">
        <v>10</v>
      </c>
      <c r="F193" s="6">
        <v>0</v>
      </c>
      <c r="G193" s="6">
        <v>20</v>
      </c>
      <c r="H193" s="6">
        <v>10</v>
      </c>
      <c r="I193" s="6">
        <v>5</v>
      </c>
      <c r="J193" s="6" t="s">
        <v>178</v>
      </c>
      <c r="K193" s="6" t="s">
        <v>184</v>
      </c>
      <c r="L193" s="6" t="s">
        <v>178</v>
      </c>
      <c r="M193" s="6">
        <v>23</v>
      </c>
      <c r="N193" s="6">
        <v>22</v>
      </c>
      <c r="O193" s="6">
        <v>16</v>
      </c>
      <c r="P193" s="6">
        <v>0</v>
      </c>
      <c r="Q193" s="6">
        <v>8</v>
      </c>
      <c r="R193" s="7">
        <v>0</v>
      </c>
    </row>
    <row r="194" spans="2:18" ht="16.5" thickTop="1" thickBot="1">
      <c r="B194" s="142"/>
      <c r="C194" s="5" t="s">
        <v>201</v>
      </c>
      <c r="D194" s="6">
        <v>0</v>
      </c>
      <c r="E194" s="6">
        <v>0</v>
      </c>
      <c r="F194" s="6">
        <v>0</v>
      </c>
      <c r="G194" s="6">
        <v>5</v>
      </c>
      <c r="H194" s="6">
        <v>5</v>
      </c>
      <c r="I194" s="6">
        <v>5</v>
      </c>
      <c r="J194" s="6" t="s">
        <v>178</v>
      </c>
      <c r="K194" s="6" t="s">
        <v>178</v>
      </c>
      <c r="L194" s="6" t="s">
        <v>178</v>
      </c>
      <c r="M194" s="6">
        <v>13</v>
      </c>
      <c r="N194" s="6">
        <v>16</v>
      </c>
      <c r="O194" s="6">
        <v>10</v>
      </c>
      <c r="P194" s="6">
        <v>0</v>
      </c>
      <c r="Q194" s="6">
        <v>0</v>
      </c>
      <c r="R194" s="7">
        <v>0</v>
      </c>
    </row>
    <row r="195" spans="2:18" ht="16.5" thickTop="1" thickBot="1">
      <c r="B195" s="142"/>
      <c r="C195" s="8" t="s">
        <v>202</v>
      </c>
      <c r="D195" s="9">
        <v>0</v>
      </c>
      <c r="E195" s="9">
        <v>0</v>
      </c>
      <c r="F195" s="9">
        <v>0</v>
      </c>
      <c r="G195" s="9">
        <v>5</v>
      </c>
      <c r="H195" s="9">
        <v>5</v>
      </c>
      <c r="I195" s="9">
        <v>5</v>
      </c>
      <c r="J195" s="9" t="s">
        <v>178</v>
      </c>
      <c r="K195" s="9" t="s">
        <v>178</v>
      </c>
      <c r="L195" s="9" t="s">
        <v>178</v>
      </c>
      <c r="M195" s="9">
        <v>8</v>
      </c>
      <c r="N195" s="9">
        <v>13</v>
      </c>
      <c r="O195" s="9">
        <v>6</v>
      </c>
      <c r="P195" s="9">
        <v>0</v>
      </c>
      <c r="Q195" s="9">
        <v>0</v>
      </c>
      <c r="R195" s="10">
        <v>0</v>
      </c>
    </row>
    <row r="196" spans="2:18" ht="16.5" thickTop="1" thickBot="1">
      <c r="B196" s="142" t="s">
        <v>220</v>
      </c>
      <c r="C196" s="2" t="s">
        <v>177</v>
      </c>
      <c r="D196" s="3">
        <v>0</v>
      </c>
      <c r="E196" s="3">
        <v>0</v>
      </c>
      <c r="F196" s="3">
        <v>0</v>
      </c>
      <c r="G196" s="3">
        <v>5</v>
      </c>
      <c r="H196" s="3">
        <v>5</v>
      </c>
      <c r="I196" s="3">
        <v>5</v>
      </c>
      <c r="J196" s="3" t="s">
        <v>178</v>
      </c>
      <c r="K196" s="3" t="s">
        <v>178</v>
      </c>
      <c r="L196" s="3" t="s">
        <v>178</v>
      </c>
      <c r="M196" s="3">
        <v>5</v>
      </c>
      <c r="N196" s="3">
        <v>3</v>
      </c>
      <c r="O196" s="3">
        <v>3</v>
      </c>
      <c r="P196" s="3">
        <v>0</v>
      </c>
      <c r="Q196" s="3">
        <v>0</v>
      </c>
      <c r="R196" s="4">
        <v>0</v>
      </c>
    </row>
    <row r="197" spans="2:18" ht="16.5" thickTop="1" thickBot="1">
      <c r="B197" s="142"/>
      <c r="C197" s="5" t="s">
        <v>179</v>
      </c>
      <c r="D197" s="6">
        <v>0</v>
      </c>
      <c r="E197" s="6">
        <v>0</v>
      </c>
      <c r="F197" s="6">
        <v>0</v>
      </c>
      <c r="G197" s="6">
        <v>5</v>
      </c>
      <c r="H197" s="6">
        <v>5</v>
      </c>
      <c r="I197" s="6">
        <v>5</v>
      </c>
      <c r="J197" s="6" t="s">
        <v>178</v>
      </c>
      <c r="K197" s="6" t="s">
        <v>178</v>
      </c>
      <c r="L197" s="6" t="s">
        <v>178</v>
      </c>
      <c r="M197" s="6">
        <v>5</v>
      </c>
      <c r="N197" s="6">
        <v>3</v>
      </c>
      <c r="O197" s="6">
        <v>3</v>
      </c>
      <c r="P197" s="6">
        <v>0</v>
      </c>
      <c r="Q197" s="6">
        <v>0</v>
      </c>
      <c r="R197" s="7">
        <v>0</v>
      </c>
    </row>
    <row r="198" spans="2:18" ht="16.5" thickTop="1" thickBot="1">
      <c r="B198" s="142"/>
      <c r="C198" s="5" t="s">
        <v>180</v>
      </c>
      <c r="D198" s="6">
        <v>0</v>
      </c>
      <c r="E198" s="6">
        <v>0</v>
      </c>
      <c r="F198" s="6">
        <v>0</v>
      </c>
      <c r="G198" s="6">
        <v>5</v>
      </c>
      <c r="H198" s="6">
        <v>5</v>
      </c>
      <c r="I198" s="6">
        <v>5</v>
      </c>
      <c r="J198" s="6" t="s">
        <v>178</v>
      </c>
      <c r="K198" s="6" t="s">
        <v>178</v>
      </c>
      <c r="L198" s="6" t="s">
        <v>178</v>
      </c>
      <c r="M198" s="6">
        <v>5</v>
      </c>
      <c r="N198" s="6">
        <v>3</v>
      </c>
      <c r="O198" s="6">
        <v>3</v>
      </c>
      <c r="P198" s="6">
        <v>0</v>
      </c>
      <c r="Q198" s="6">
        <v>0</v>
      </c>
      <c r="R198" s="7">
        <v>0</v>
      </c>
    </row>
    <row r="199" spans="2:18" ht="16.5" thickTop="1" thickBot="1">
      <c r="B199" s="142"/>
      <c r="C199" s="5" t="s">
        <v>181</v>
      </c>
      <c r="D199" s="6">
        <v>0</v>
      </c>
      <c r="E199" s="6">
        <v>0</v>
      </c>
      <c r="F199" s="6">
        <v>0</v>
      </c>
      <c r="G199" s="6">
        <v>5</v>
      </c>
      <c r="H199" s="6">
        <v>5</v>
      </c>
      <c r="I199" s="6">
        <v>5</v>
      </c>
      <c r="J199" s="6" t="s">
        <v>178</v>
      </c>
      <c r="K199" s="6" t="s">
        <v>178</v>
      </c>
      <c r="L199" s="6" t="s">
        <v>178</v>
      </c>
      <c r="M199" s="6">
        <v>5</v>
      </c>
      <c r="N199" s="6">
        <v>3</v>
      </c>
      <c r="O199" s="6">
        <v>3</v>
      </c>
      <c r="P199" s="6">
        <v>0</v>
      </c>
      <c r="Q199" s="6">
        <v>0</v>
      </c>
      <c r="R199" s="7">
        <v>0</v>
      </c>
    </row>
    <row r="200" spans="2:18" ht="16.5" thickTop="1" thickBot="1">
      <c r="B200" s="142"/>
      <c r="C200" s="5" t="s">
        <v>182</v>
      </c>
      <c r="D200" s="6">
        <v>0</v>
      </c>
      <c r="E200" s="6">
        <v>0</v>
      </c>
      <c r="F200" s="6">
        <v>0</v>
      </c>
      <c r="G200" s="6">
        <v>5</v>
      </c>
      <c r="H200" s="6">
        <v>5</v>
      </c>
      <c r="I200" s="6">
        <v>5</v>
      </c>
      <c r="J200" s="6" t="s">
        <v>178</v>
      </c>
      <c r="K200" s="6" t="s">
        <v>178</v>
      </c>
      <c r="L200" s="6" t="s">
        <v>178</v>
      </c>
      <c r="M200" s="6">
        <v>5</v>
      </c>
      <c r="N200" s="6">
        <v>3</v>
      </c>
      <c r="O200" s="6">
        <v>3</v>
      </c>
      <c r="P200" s="6">
        <v>0</v>
      </c>
      <c r="Q200" s="6">
        <v>0</v>
      </c>
      <c r="R200" s="7">
        <v>0</v>
      </c>
    </row>
    <row r="201" spans="2:18" ht="16.5" thickTop="1" thickBot="1">
      <c r="B201" s="142"/>
      <c r="C201" s="5" t="s">
        <v>183</v>
      </c>
      <c r="D201" s="6">
        <v>0</v>
      </c>
      <c r="E201" s="6">
        <v>0</v>
      </c>
      <c r="F201" s="6">
        <v>0</v>
      </c>
      <c r="G201" s="6">
        <v>5</v>
      </c>
      <c r="H201" s="6">
        <v>5</v>
      </c>
      <c r="I201" s="6">
        <v>5</v>
      </c>
      <c r="J201" s="6" t="s">
        <v>178</v>
      </c>
      <c r="K201" s="6" t="s">
        <v>178</v>
      </c>
      <c r="L201" s="6" t="s">
        <v>178</v>
      </c>
      <c r="M201" s="6">
        <v>5</v>
      </c>
      <c r="N201" s="6">
        <v>3</v>
      </c>
      <c r="O201" s="6">
        <v>3</v>
      </c>
      <c r="P201" s="6">
        <v>0</v>
      </c>
      <c r="Q201" s="6">
        <v>0</v>
      </c>
      <c r="R201" s="7">
        <v>0</v>
      </c>
    </row>
    <row r="202" spans="2:18" ht="16.5" thickTop="1" thickBot="1">
      <c r="B202" s="142"/>
      <c r="C202" s="5" t="s">
        <v>185</v>
      </c>
      <c r="D202" s="6">
        <v>0</v>
      </c>
      <c r="E202" s="6">
        <v>0</v>
      </c>
      <c r="F202" s="6">
        <v>0</v>
      </c>
      <c r="G202" s="6">
        <v>5</v>
      </c>
      <c r="H202" s="6">
        <v>5</v>
      </c>
      <c r="I202" s="6">
        <v>5</v>
      </c>
      <c r="J202" s="6" t="s">
        <v>178</v>
      </c>
      <c r="K202" s="6" t="s">
        <v>178</v>
      </c>
      <c r="L202" s="6" t="s">
        <v>178</v>
      </c>
      <c r="M202" s="6">
        <v>5</v>
      </c>
      <c r="N202" s="6">
        <v>3</v>
      </c>
      <c r="O202" s="6">
        <v>3</v>
      </c>
      <c r="P202" s="6">
        <v>0</v>
      </c>
      <c r="Q202" s="6">
        <v>0</v>
      </c>
      <c r="R202" s="7">
        <v>0</v>
      </c>
    </row>
    <row r="203" spans="2:18" ht="16.5" thickTop="1" thickBot="1">
      <c r="B203" s="142"/>
      <c r="C203" s="5" t="s">
        <v>186</v>
      </c>
      <c r="D203" s="6">
        <v>5</v>
      </c>
      <c r="E203" s="6">
        <v>0</v>
      </c>
      <c r="F203" s="6">
        <v>0</v>
      </c>
      <c r="G203" s="6">
        <v>30</v>
      </c>
      <c r="H203" s="6">
        <v>5</v>
      </c>
      <c r="I203" s="6">
        <v>5</v>
      </c>
      <c r="J203" s="6" t="s">
        <v>184</v>
      </c>
      <c r="K203" s="6" t="s">
        <v>178</v>
      </c>
      <c r="L203" s="6" t="s">
        <v>178</v>
      </c>
      <c r="M203" s="6">
        <v>10</v>
      </c>
      <c r="N203" s="6">
        <v>3</v>
      </c>
      <c r="O203" s="6">
        <v>3</v>
      </c>
      <c r="P203" s="6">
        <v>0</v>
      </c>
      <c r="Q203" s="6">
        <v>0</v>
      </c>
      <c r="R203" s="7">
        <v>0</v>
      </c>
    </row>
    <row r="204" spans="2:18" ht="16.5" thickTop="1" thickBot="1">
      <c r="B204" s="142"/>
      <c r="C204" s="5" t="s">
        <v>187</v>
      </c>
      <c r="D204" s="6">
        <v>75</v>
      </c>
      <c r="E204" s="6">
        <v>10</v>
      </c>
      <c r="F204" s="6">
        <v>0</v>
      </c>
      <c r="G204" s="6">
        <v>85</v>
      </c>
      <c r="H204" s="6">
        <v>15</v>
      </c>
      <c r="I204" s="6">
        <v>5</v>
      </c>
      <c r="J204" s="6" t="s">
        <v>184</v>
      </c>
      <c r="K204" s="6" t="s">
        <v>184</v>
      </c>
      <c r="L204" s="6" t="s">
        <v>178</v>
      </c>
      <c r="M204" s="6">
        <v>34</v>
      </c>
      <c r="N204" s="6">
        <v>3</v>
      </c>
      <c r="O204" s="6">
        <v>5</v>
      </c>
      <c r="P204" s="6">
        <v>30</v>
      </c>
      <c r="Q204" s="6">
        <v>0</v>
      </c>
      <c r="R204" s="7">
        <v>0</v>
      </c>
    </row>
    <row r="205" spans="2:18" ht="16.5" thickTop="1" thickBot="1">
      <c r="B205" s="142"/>
      <c r="C205" s="5" t="s">
        <v>188</v>
      </c>
      <c r="D205" s="6">
        <v>90</v>
      </c>
      <c r="E205" s="6">
        <v>10</v>
      </c>
      <c r="F205" s="6">
        <v>0</v>
      </c>
      <c r="G205" s="6">
        <v>95</v>
      </c>
      <c r="H205" s="6">
        <v>15</v>
      </c>
      <c r="I205" s="6">
        <v>5</v>
      </c>
      <c r="J205" s="6" t="s">
        <v>184</v>
      </c>
      <c r="K205" s="6" t="s">
        <v>184</v>
      </c>
      <c r="L205" s="6" t="s">
        <v>178</v>
      </c>
      <c r="M205" s="6">
        <v>60</v>
      </c>
      <c r="N205" s="6">
        <v>5</v>
      </c>
      <c r="O205" s="6">
        <v>5</v>
      </c>
      <c r="P205" s="6">
        <v>30</v>
      </c>
      <c r="Q205" s="6">
        <v>0</v>
      </c>
      <c r="R205" s="7">
        <v>0</v>
      </c>
    </row>
    <row r="206" spans="2:18" ht="16.5" thickTop="1" thickBot="1">
      <c r="B206" s="142"/>
      <c r="C206" s="5" t="s">
        <v>189</v>
      </c>
      <c r="D206" s="6">
        <v>90</v>
      </c>
      <c r="E206" s="6">
        <v>10</v>
      </c>
      <c r="F206" s="6">
        <v>0</v>
      </c>
      <c r="G206" s="6">
        <v>95</v>
      </c>
      <c r="H206" s="6">
        <v>15</v>
      </c>
      <c r="I206" s="6">
        <v>5</v>
      </c>
      <c r="J206" s="6" t="s">
        <v>184</v>
      </c>
      <c r="K206" s="6" t="s">
        <v>184</v>
      </c>
      <c r="L206" s="6" t="s">
        <v>178</v>
      </c>
      <c r="M206" s="6">
        <v>63</v>
      </c>
      <c r="N206" s="6">
        <v>5</v>
      </c>
      <c r="O206" s="6">
        <v>5</v>
      </c>
      <c r="P206" s="6">
        <v>30</v>
      </c>
      <c r="Q206" s="6">
        <v>0</v>
      </c>
      <c r="R206" s="7">
        <v>0</v>
      </c>
    </row>
    <row r="207" spans="2:18" ht="16.5" thickTop="1" thickBot="1">
      <c r="B207" s="142"/>
      <c r="C207" s="5" t="s">
        <v>190</v>
      </c>
      <c r="D207" s="6">
        <v>80</v>
      </c>
      <c r="E207" s="6">
        <v>10</v>
      </c>
      <c r="F207" s="6">
        <v>0</v>
      </c>
      <c r="G207" s="6">
        <v>95</v>
      </c>
      <c r="H207" s="6">
        <v>15</v>
      </c>
      <c r="I207" s="6">
        <v>5</v>
      </c>
      <c r="J207" s="6" t="s">
        <v>184</v>
      </c>
      <c r="K207" s="6" t="s">
        <v>184</v>
      </c>
      <c r="L207" s="6" t="s">
        <v>178</v>
      </c>
      <c r="M207" s="6">
        <v>72</v>
      </c>
      <c r="N207" s="6">
        <v>5</v>
      </c>
      <c r="O207" s="6">
        <v>5</v>
      </c>
      <c r="P207" s="6">
        <v>30</v>
      </c>
      <c r="Q207" s="6">
        <v>0</v>
      </c>
      <c r="R207" s="7">
        <v>0</v>
      </c>
    </row>
    <row r="208" spans="2:18" ht="16.5" thickTop="1" thickBot="1">
      <c r="B208" s="142"/>
      <c r="C208" s="5" t="s">
        <v>191</v>
      </c>
      <c r="D208" s="6">
        <v>80</v>
      </c>
      <c r="E208" s="6">
        <v>10</v>
      </c>
      <c r="F208" s="6">
        <v>0</v>
      </c>
      <c r="G208" s="6">
        <v>80</v>
      </c>
      <c r="H208" s="6">
        <v>15</v>
      </c>
      <c r="I208" s="6">
        <v>5</v>
      </c>
      <c r="J208" s="6" t="s">
        <v>184</v>
      </c>
      <c r="K208" s="6" t="s">
        <v>184</v>
      </c>
      <c r="L208" s="6" t="s">
        <v>178</v>
      </c>
      <c r="M208" s="6">
        <v>79</v>
      </c>
      <c r="N208" s="6">
        <v>5</v>
      </c>
      <c r="O208" s="6">
        <v>5</v>
      </c>
      <c r="P208" s="6">
        <v>30</v>
      </c>
      <c r="Q208" s="6">
        <v>0</v>
      </c>
      <c r="R208" s="7">
        <v>0</v>
      </c>
    </row>
    <row r="209" spans="2:18" ht="16.5" thickTop="1" thickBot="1">
      <c r="B209" s="142"/>
      <c r="C209" s="5" t="s">
        <v>192</v>
      </c>
      <c r="D209" s="6">
        <v>80</v>
      </c>
      <c r="E209" s="6">
        <v>0</v>
      </c>
      <c r="F209" s="6">
        <v>0</v>
      </c>
      <c r="G209" s="6">
        <v>80</v>
      </c>
      <c r="H209" s="6">
        <v>5</v>
      </c>
      <c r="I209" s="6">
        <v>5</v>
      </c>
      <c r="J209" s="6" t="s">
        <v>184</v>
      </c>
      <c r="K209" s="6" t="s">
        <v>178</v>
      </c>
      <c r="L209" s="6" t="s">
        <v>178</v>
      </c>
      <c r="M209" s="6">
        <v>83</v>
      </c>
      <c r="N209" s="6">
        <v>3</v>
      </c>
      <c r="O209" s="6">
        <v>5</v>
      </c>
      <c r="P209" s="6">
        <v>30</v>
      </c>
      <c r="Q209" s="6">
        <v>0</v>
      </c>
      <c r="R209" s="7">
        <v>0</v>
      </c>
    </row>
    <row r="210" spans="2:18" ht="16.5" thickTop="1" thickBot="1">
      <c r="B210" s="142"/>
      <c r="C210" s="5" t="s">
        <v>193</v>
      </c>
      <c r="D210" s="6">
        <v>80</v>
      </c>
      <c r="E210" s="6">
        <v>0</v>
      </c>
      <c r="F210" s="6">
        <v>0</v>
      </c>
      <c r="G210" s="6">
        <v>80</v>
      </c>
      <c r="H210" s="6">
        <v>5</v>
      </c>
      <c r="I210" s="6">
        <v>5</v>
      </c>
      <c r="J210" s="6" t="s">
        <v>184</v>
      </c>
      <c r="K210" s="6" t="s">
        <v>178</v>
      </c>
      <c r="L210" s="6" t="s">
        <v>178</v>
      </c>
      <c r="M210" s="6">
        <v>61</v>
      </c>
      <c r="N210" s="6">
        <v>3</v>
      </c>
      <c r="O210" s="6">
        <v>3</v>
      </c>
      <c r="P210" s="6">
        <v>30</v>
      </c>
      <c r="Q210" s="6">
        <v>0</v>
      </c>
      <c r="R210" s="7">
        <v>0</v>
      </c>
    </row>
    <row r="211" spans="2:18" ht="16.5" thickTop="1" thickBot="1">
      <c r="B211" s="142"/>
      <c r="C211" s="5" t="s">
        <v>194</v>
      </c>
      <c r="D211" s="6">
        <v>45</v>
      </c>
      <c r="E211" s="6">
        <v>0</v>
      </c>
      <c r="F211" s="6">
        <v>0</v>
      </c>
      <c r="G211" s="6">
        <v>70</v>
      </c>
      <c r="H211" s="6">
        <v>5</v>
      </c>
      <c r="I211" s="6">
        <v>5</v>
      </c>
      <c r="J211" s="6" t="s">
        <v>184</v>
      </c>
      <c r="K211" s="6" t="s">
        <v>178</v>
      </c>
      <c r="L211" s="6" t="s">
        <v>178</v>
      </c>
      <c r="M211" s="6">
        <v>65</v>
      </c>
      <c r="N211" s="6">
        <v>3</v>
      </c>
      <c r="O211" s="6">
        <v>3</v>
      </c>
      <c r="P211" s="6">
        <v>15</v>
      </c>
      <c r="Q211" s="6">
        <v>0</v>
      </c>
      <c r="R211" s="7">
        <v>0</v>
      </c>
    </row>
    <row r="212" spans="2:18" ht="16.5" thickTop="1" thickBot="1">
      <c r="B212" s="142"/>
      <c r="C212" s="5" t="s">
        <v>195</v>
      </c>
      <c r="D212" s="6">
        <v>15</v>
      </c>
      <c r="E212" s="6">
        <v>0</v>
      </c>
      <c r="F212" s="6">
        <v>0</v>
      </c>
      <c r="G212" s="6">
        <v>50</v>
      </c>
      <c r="H212" s="6">
        <v>5</v>
      </c>
      <c r="I212" s="6">
        <v>5</v>
      </c>
      <c r="J212" s="6" t="s">
        <v>184</v>
      </c>
      <c r="K212" s="6" t="s">
        <v>178</v>
      </c>
      <c r="L212" s="6" t="s">
        <v>178</v>
      </c>
      <c r="M212" s="6">
        <v>10</v>
      </c>
      <c r="N212" s="6">
        <v>3</v>
      </c>
      <c r="O212" s="6">
        <v>3</v>
      </c>
      <c r="P212" s="6">
        <v>0</v>
      </c>
      <c r="Q212" s="6">
        <v>0</v>
      </c>
      <c r="R212" s="7">
        <v>0</v>
      </c>
    </row>
    <row r="213" spans="2:18" ht="16.5" thickTop="1" thickBot="1">
      <c r="B213" s="142"/>
      <c r="C213" s="5" t="s">
        <v>196</v>
      </c>
      <c r="D213" s="6">
        <v>5</v>
      </c>
      <c r="E213" s="6">
        <v>0</v>
      </c>
      <c r="F213" s="6">
        <v>0</v>
      </c>
      <c r="G213" s="6">
        <v>50</v>
      </c>
      <c r="H213" s="6">
        <v>5</v>
      </c>
      <c r="I213" s="6">
        <v>5</v>
      </c>
      <c r="J213" s="6" t="s">
        <v>184</v>
      </c>
      <c r="K213" s="6" t="s">
        <v>178</v>
      </c>
      <c r="L213" s="6" t="s">
        <v>178</v>
      </c>
      <c r="M213" s="6">
        <v>10</v>
      </c>
      <c r="N213" s="6">
        <v>3</v>
      </c>
      <c r="O213" s="6">
        <v>3</v>
      </c>
      <c r="P213" s="6">
        <v>0</v>
      </c>
      <c r="Q213" s="6">
        <v>0</v>
      </c>
      <c r="R213" s="7">
        <v>0</v>
      </c>
    </row>
    <row r="214" spans="2:18" ht="16.5" thickTop="1" thickBot="1">
      <c r="B214" s="142"/>
      <c r="C214" s="5" t="s">
        <v>197</v>
      </c>
      <c r="D214" s="6">
        <v>15</v>
      </c>
      <c r="E214" s="6">
        <v>0</v>
      </c>
      <c r="F214" s="6">
        <v>0</v>
      </c>
      <c r="G214" s="6">
        <v>35</v>
      </c>
      <c r="H214" s="6">
        <v>5</v>
      </c>
      <c r="I214" s="6">
        <v>5</v>
      </c>
      <c r="J214" s="6" t="s">
        <v>184</v>
      </c>
      <c r="K214" s="6" t="s">
        <v>178</v>
      </c>
      <c r="L214" s="6" t="s">
        <v>178</v>
      </c>
      <c r="M214" s="6">
        <v>19</v>
      </c>
      <c r="N214" s="6">
        <v>3</v>
      </c>
      <c r="O214" s="6">
        <v>3</v>
      </c>
      <c r="P214" s="6">
        <v>0</v>
      </c>
      <c r="Q214" s="6">
        <v>0</v>
      </c>
      <c r="R214" s="7">
        <v>0</v>
      </c>
    </row>
    <row r="215" spans="2:18" ht="16.5" thickTop="1" thickBot="1">
      <c r="B215" s="142"/>
      <c r="C215" s="5" t="s">
        <v>198</v>
      </c>
      <c r="D215" s="6">
        <v>20</v>
      </c>
      <c r="E215" s="6">
        <v>0</v>
      </c>
      <c r="F215" s="6">
        <v>0</v>
      </c>
      <c r="G215" s="6">
        <v>35</v>
      </c>
      <c r="H215" s="6">
        <v>5</v>
      </c>
      <c r="I215" s="6">
        <v>5</v>
      </c>
      <c r="J215" s="6" t="s">
        <v>184</v>
      </c>
      <c r="K215" s="6" t="s">
        <v>178</v>
      </c>
      <c r="L215" s="6" t="s">
        <v>178</v>
      </c>
      <c r="M215" s="6">
        <v>25</v>
      </c>
      <c r="N215" s="6">
        <v>3</v>
      </c>
      <c r="O215" s="6">
        <v>3</v>
      </c>
      <c r="P215" s="6">
        <v>0</v>
      </c>
      <c r="Q215" s="6">
        <v>0</v>
      </c>
      <c r="R215" s="7">
        <v>0</v>
      </c>
    </row>
    <row r="216" spans="2:18" ht="16.5" thickTop="1" thickBot="1">
      <c r="B216" s="142"/>
      <c r="C216" s="5" t="s">
        <v>199</v>
      </c>
      <c r="D216" s="6">
        <v>20</v>
      </c>
      <c r="E216" s="6">
        <v>0</v>
      </c>
      <c r="F216" s="6">
        <v>0</v>
      </c>
      <c r="G216" s="6">
        <v>35</v>
      </c>
      <c r="H216" s="6">
        <v>5</v>
      </c>
      <c r="I216" s="6">
        <v>5</v>
      </c>
      <c r="J216" s="6" t="s">
        <v>184</v>
      </c>
      <c r="K216" s="6" t="s">
        <v>178</v>
      </c>
      <c r="L216" s="6" t="s">
        <v>178</v>
      </c>
      <c r="M216" s="6">
        <v>22</v>
      </c>
      <c r="N216" s="6">
        <v>3</v>
      </c>
      <c r="O216" s="6">
        <v>3</v>
      </c>
      <c r="P216" s="6">
        <v>0</v>
      </c>
      <c r="Q216" s="6">
        <v>0</v>
      </c>
      <c r="R216" s="7">
        <v>0</v>
      </c>
    </row>
    <row r="217" spans="2:18" ht="16.5" thickTop="1" thickBot="1">
      <c r="B217" s="142"/>
      <c r="C217" s="5" t="s">
        <v>200</v>
      </c>
      <c r="D217" s="6">
        <v>10</v>
      </c>
      <c r="E217" s="6">
        <v>0</v>
      </c>
      <c r="F217" s="6">
        <v>0</v>
      </c>
      <c r="G217" s="6">
        <v>30</v>
      </c>
      <c r="H217" s="6">
        <v>5</v>
      </c>
      <c r="I217" s="6">
        <v>5</v>
      </c>
      <c r="J217" s="6" t="s">
        <v>184</v>
      </c>
      <c r="K217" s="6" t="s">
        <v>178</v>
      </c>
      <c r="L217" s="6" t="s">
        <v>178</v>
      </c>
      <c r="M217" s="6">
        <v>22</v>
      </c>
      <c r="N217" s="6">
        <v>3</v>
      </c>
      <c r="O217" s="6">
        <v>3</v>
      </c>
      <c r="P217" s="6">
        <v>0</v>
      </c>
      <c r="Q217" s="6">
        <v>0</v>
      </c>
      <c r="R217" s="7">
        <v>0</v>
      </c>
    </row>
    <row r="218" spans="2:18" ht="16.5" thickTop="1" thickBot="1">
      <c r="B218" s="142"/>
      <c r="C218" s="5" t="s">
        <v>201</v>
      </c>
      <c r="D218" s="6">
        <v>0</v>
      </c>
      <c r="E218" s="6">
        <v>0</v>
      </c>
      <c r="F218" s="6">
        <v>0</v>
      </c>
      <c r="G218" s="6">
        <v>5</v>
      </c>
      <c r="H218" s="6">
        <v>5</v>
      </c>
      <c r="I218" s="6">
        <v>5</v>
      </c>
      <c r="J218" s="6" t="s">
        <v>178</v>
      </c>
      <c r="K218" s="6" t="s">
        <v>178</v>
      </c>
      <c r="L218" s="6" t="s">
        <v>178</v>
      </c>
      <c r="M218" s="6">
        <v>12</v>
      </c>
      <c r="N218" s="6">
        <v>3</v>
      </c>
      <c r="O218" s="6">
        <v>3</v>
      </c>
      <c r="P218" s="6">
        <v>0</v>
      </c>
      <c r="Q218" s="6">
        <v>0</v>
      </c>
      <c r="R218" s="7">
        <v>0</v>
      </c>
    </row>
    <row r="219" spans="2:18" ht="16.5" thickTop="1" thickBot="1">
      <c r="B219" s="142"/>
      <c r="C219" s="8" t="s">
        <v>202</v>
      </c>
      <c r="D219" s="9">
        <v>0</v>
      </c>
      <c r="E219" s="9">
        <v>0</v>
      </c>
      <c r="F219" s="9">
        <v>0</v>
      </c>
      <c r="G219" s="9">
        <v>5</v>
      </c>
      <c r="H219" s="9">
        <v>5</v>
      </c>
      <c r="I219" s="9">
        <v>5</v>
      </c>
      <c r="J219" s="9" t="s">
        <v>178</v>
      </c>
      <c r="K219" s="9" t="s">
        <v>178</v>
      </c>
      <c r="L219" s="9" t="s">
        <v>178</v>
      </c>
      <c r="M219" s="9">
        <v>9</v>
      </c>
      <c r="N219" s="9">
        <v>3</v>
      </c>
      <c r="O219" s="9">
        <v>3</v>
      </c>
      <c r="P219" s="9">
        <v>0</v>
      </c>
      <c r="Q219" s="9">
        <v>0</v>
      </c>
      <c r="R219" s="10">
        <v>0</v>
      </c>
    </row>
    <row r="220" spans="2:18" ht="16.5" thickTop="1" thickBot="1">
      <c r="B220" s="142" t="s">
        <v>221</v>
      </c>
      <c r="C220" s="2" t="s">
        <v>177</v>
      </c>
      <c r="D220" s="3">
        <v>0</v>
      </c>
      <c r="E220" s="3">
        <v>0</v>
      </c>
      <c r="F220" s="3">
        <v>0</v>
      </c>
      <c r="G220" s="3">
        <v>5</v>
      </c>
      <c r="H220" s="3">
        <v>5</v>
      </c>
      <c r="I220" s="3">
        <v>5</v>
      </c>
      <c r="J220" s="3" t="s">
        <v>178</v>
      </c>
      <c r="K220" s="3" t="s">
        <v>178</v>
      </c>
      <c r="L220" s="3" t="s">
        <v>178</v>
      </c>
      <c r="M220" s="3">
        <v>2</v>
      </c>
      <c r="N220" s="3">
        <v>2</v>
      </c>
      <c r="O220" s="3">
        <v>2</v>
      </c>
      <c r="P220" s="3">
        <v>0</v>
      </c>
      <c r="Q220" s="3">
        <v>0</v>
      </c>
      <c r="R220" s="4">
        <v>0</v>
      </c>
    </row>
    <row r="221" spans="2:18" ht="16.5" thickTop="1" thickBot="1">
      <c r="B221" s="142"/>
      <c r="C221" s="5" t="s">
        <v>179</v>
      </c>
      <c r="D221" s="6">
        <v>0</v>
      </c>
      <c r="E221" s="6">
        <v>0</v>
      </c>
      <c r="F221" s="6">
        <v>0</v>
      </c>
      <c r="G221" s="6">
        <v>5</v>
      </c>
      <c r="H221" s="6">
        <v>5</v>
      </c>
      <c r="I221" s="6">
        <v>5</v>
      </c>
      <c r="J221" s="6" t="s">
        <v>178</v>
      </c>
      <c r="K221" s="6" t="s">
        <v>178</v>
      </c>
      <c r="L221" s="6" t="s">
        <v>178</v>
      </c>
      <c r="M221" s="6">
        <v>2</v>
      </c>
      <c r="N221" s="6">
        <v>2</v>
      </c>
      <c r="O221" s="6">
        <v>2</v>
      </c>
      <c r="P221" s="6">
        <v>0</v>
      </c>
      <c r="Q221" s="6">
        <v>0</v>
      </c>
      <c r="R221" s="7">
        <v>0</v>
      </c>
    </row>
    <row r="222" spans="2:18" ht="16.5" thickTop="1" thickBot="1">
      <c r="B222" s="142"/>
      <c r="C222" s="5" t="s">
        <v>180</v>
      </c>
      <c r="D222" s="6">
        <v>0</v>
      </c>
      <c r="E222" s="6">
        <v>0</v>
      </c>
      <c r="F222" s="6">
        <v>0</v>
      </c>
      <c r="G222" s="6">
        <v>5</v>
      </c>
      <c r="H222" s="6">
        <v>5</v>
      </c>
      <c r="I222" s="6">
        <v>5</v>
      </c>
      <c r="J222" s="6" t="s">
        <v>178</v>
      </c>
      <c r="K222" s="6" t="s">
        <v>178</v>
      </c>
      <c r="L222" s="6" t="s">
        <v>178</v>
      </c>
      <c r="M222" s="6">
        <v>2</v>
      </c>
      <c r="N222" s="6">
        <v>2</v>
      </c>
      <c r="O222" s="6">
        <v>2</v>
      </c>
      <c r="P222" s="6">
        <v>0</v>
      </c>
      <c r="Q222" s="6">
        <v>0</v>
      </c>
      <c r="R222" s="7">
        <v>0</v>
      </c>
    </row>
    <row r="223" spans="2:18" ht="16.5" thickTop="1" thickBot="1">
      <c r="B223" s="142"/>
      <c r="C223" s="5" t="s">
        <v>181</v>
      </c>
      <c r="D223" s="6">
        <v>0</v>
      </c>
      <c r="E223" s="6">
        <v>0</v>
      </c>
      <c r="F223" s="6">
        <v>0</v>
      </c>
      <c r="G223" s="6">
        <v>5</v>
      </c>
      <c r="H223" s="6">
        <v>5</v>
      </c>
      <c r="I223" s="6">
        <v>5</v>
      </c>
      <c r="J223" s="6" t="s">
        <v>178</v>
      </c>
      <c r="K223" s="6" t="s">
        <v>178</v>
      </c>
      <c r="L223" s="6" t="s">
        <v>178</v>
      </c>
      <c r="M223" s="6">
        <v>2</v>
      </c>
      <c r="N223" s="6">
        <v>2</v>
      </c>
      <c r="O223" s="6">
        <v>2</v>
      </c>
      <c r="P223" s="6">
        <v>0</v>
      </c>
      <c r="Q223" s="6">
        <v>0</v>
      </c>
      <c r="R223" s="7">
        <v>0</v>
      </c>
    </row>
    <row r="224" spans="2:18" ht="16.5" thickTop="1" thickBot="1">
      <c r="B224" s="142"/>
      <c r="C224" s="5" t="s">
        <v>182</v>
      </c>
      <c r="D224" s="6">
        <v>0</v>
      </c>
      <c r="E224" s="6">
        <v>0</v>
      </c>
      <c r="F224" s="6">
        <v>0</v>
      </c>
      <c r="G224" s="6">
        <v>5</v>
      </c>
      <c r="H224" s="6">
        <v>5</v>
      </c>
      <c r="I224" s="6">
        <v>5</v>
      </c>
      <c r="J224" s="6" t="s">
        <v>178</v>
      </c>
      <c r="K224" s="6" t="s">
        <v>178</v>
      </c>
      <c r="L224" s="6" t="s">
        <v>178</v>
      </c>
      <c r="M224" s="6">
        <v>5</v>
      </c>
      <c r="N224" s="6">
        <v>2</v>
      </c>
      <c r="O224" s="6">
        <v>2</v>
      </c>
      <c r="P224" s="6">
        <v>0</v>
      </c>
      <c r="Q224" s="6">
        <v>0</v>
      </c>
      <c r="R224" s="7">
        <v>0</v>
      </c>
    </row>
    <row r="225" spans="2:18" ht="16.5" thickTop="1" thickBot="1">
      <c r="B225" s="142"/>
      <c r="C225" s="5" t="s">
        <v>183</v>
      </c>
      <c r="D225" s="6">
        <v>0</v>
      </c>
      <c r="E225" s="6">
        <v>0</v>
      </c>
      <c r="F225" s="6">
        <v>0</v>
      </c>
      <c r="G225" s="6">
        <v>5</v>
      </c>
      <c r="H225" s="6">
        <v>5</v>
      </c>
      <c r="I225" s="6">
        <v>5</v>
      </c>
      <c r="J225" s="6" t="s">
        <v>178</v>
      </c>
      <c r="K225" s="6" t="s">
        <v>178</v>
      </c>
      <c r="L225" s="6" t="s">
        <v>178</v>
      </c>
      <c r="M225" s="6">
        <v>7</v>
      </c>
      <c r="N225" s="6">
        <v>2</v>
      </c>
      <c r="O225" s="6">
        <v>2</v>
      </c>
      <c r="P225" s="6">
        <v>0</v>
      </c>
      <c r="Q225" s="6">
        <v>0</v>
      </c>
      <c r="R225" s="7">
        <v>0</v>
      </c>
    </row>
    <row r="226" spans="2:18" ht="16.5" thickTop="1" thickBot="1">
      <c r="B226" s="142"/>
      <c r="C226" s="5" t="s">
        <v>185</v>
      </c>
      <c r="D226" s="6">
        <v>0</v>
      </c>
      <c r="E226" s="6">
        <v>0</v>
      </c>
      <c r="F226" s="6">
        <v>0</v>
      </c>
      <c r="G226" s="6">
        <v>5</v>
      </c>
      <c r="H226" s="6">
        <v>5</v>
      </c>
      <c r="I226" s="6">
        <v>5</v>
      </c>
      <c r="J226" s="6" t="s">
        <v>178</v>
      </c>
      <c r="K226" s="6" t="s">
        <v>178</v>
      </c>
      <c r="L226" s="6" t="s">
        <v>178</v>
      </c>
      <c r="M226" s="6">
        <v>7</v>
      </c>
      <c r="N226" s="6">
        <v>2</v>
      </c>
      <c r="O226" s="6">
        <v>2</v>
      </c>
      <c r="P226" s="6">
        <v>0</v>
      </c>
      <c r="Q226" s="6">
        <v>0</v>
      </c>
      <c r="R226" s="7">
        <v>0</v>
      </c>
    </row>
    <row r="227" spans="2:18" ht="16.5" thickTop="1" thickBot="1">
      <c r="B227" s="142"/>
      <c r="C227" s="5" t="s">
        <v>186</v>
      </c>
      <c r="D227" s="6">
        <v>15</v>
      </c>
      <c r="E227" s="6">
        <v>0</v>
      </c>
      <c r="F227" s="6">
        <v>0</v>
      </c>
      <c r="G227" s="6">
        <v>40</v>
      </c>
      <c r="H227" s="6">
        <v>5</v>
      </c>
      <c r="I227" s="6">
        <v>5</v>
      </c>
      <c r="J227" s="6" t="s">
        <v>184</v>
      </c>
      <c r="K227" s="6" t="s">
        <v>178</v>
      </c>
      <c r="L227" s="6" t="s">
        <v>178</v>
      </c>
      <c r="M227" s="6">
        <v>10</v>
      </c>
      <c r="N227" s="6">
        <v>2</v>
      </c>
      <c r="O227" s="6">
        <v>2</v>
      </c>
      <c r="P227" s="6">
        <v>0</v>
      </c>
      <c r="Q227" s="6">
        <v>0</v>
      </c>
      <c r="R227" s="7">
        <v>0</v>
      </c>
    </row>
    <row r="228" spans="2:18" ht="16.5" thickTop="1" thickBot="1">
      <c r="B228" s="142"/>
      <c r="C228" s="5" t="s">
        <v>187</v>
      </c>
      <c r="D228" s="6">
        <v>70</v>
      </c>
      <c r="E228" s="6">
        <v>20</v>
      </c>
      <c r="F228" s="6">
        <v>0</v>
      </c>
      <c r="G228" s="6">
        <v>70</v>
      </c>
      <c r="H228" s="6">
        <v>8</v>
      </c>
      <c r="I228" s="6">
        <v>5</v>
      </c>
      <c r="J228" s="6" t="s">
        <v>184</v>
      </c>
      <c r="K228" s="6" t="s">
        <v>184</v>
      </c>
      <c r="L228" s="6" t="s">
        <v>178</v>
      </c>
      <c r="M228" s="6">
        <v>30</v>
      </c>
      <c r="N228" s="6">
        <v>6</v>
      </c>
      <c r="O228" s="6">
        <v>2</v>
      </c>
      <c r="P228" s="6">
        <v>0</v>
      </c>
      <c r="Q228" s="6">
        <v>0</v>
      </c>
      <c r="R228" s="7">
        <v>0</v>
      </c>
    </row>
    <row r="229" spans="2:18" ht="16.5" thickTop="1" thickBot="1">
      <c r="B229" s="142"/>
      <c r="C229" s="5" t="s">
        <v>188</v>
      </c>
      <c r="D229" s="6">
        <v>90</v>
      </c>
      <c r="E229" s="6">
        <v>20</v>
      </c>
      <c r="F229" s="6">
        <v>0</v>
      </c>
      <c r="G229" s="6">
        <v>90</v>
      </c>
      <c r="H229" s="6">
        <v>24</v>
      </c>
      <c r="I229" s="6">
        <v>5</v>
      </c>
      <c r="J229" s="6" t="s">
        <v>184</v>
      </c>
      <c r="K229" s="6" t="s">
        <v>184</v>
      </c>
      <c r="L229" s="6" t="s">
        <v>178</v>
      </c>
      <c r="M229" s="6">
        <v>36</v>
      </c>
      <c r="N229" s="6">
        <v>12</v>
      </c>
      <c r="O229" s="6">
        <v>2</v>
      </c>
      <c r="P229" s="6">
        <v>0</v>
      </c>
      <c r="Q229" s="6">
        <v>0</v>
      </c>
      <c r="R229" s="7">
        <v>0</v>
      </c>
    </row>
    <row r="230" spans="2:18" ht="16.5" thickTop="1" thickBot="1">
      <c r="B230" s="142"/>
      <c r="C230" s="5" t="s">
        <v>189</v>
      </c>
      <c r="D230" s="6">
        <v>90</v>
      </c>
      <c r="E230" s="6">
        <v>20</v>
      </c>
      <c r="F230" s="6">
        <v>0</v>
      </c>
      <c r="G230" s="6">
        <v>90</v>
      </c>
      <c r="H230" s="6">
        <v>24</v>
      </c>
      <c r="I230" s="6">
        <v>5</v>
      </c>
      <c r="J230" s="6" t="s">
        <v>184</v>
      </c>
      <c r="K230" s="6" t="s">
        <v>184</v>
      </c>
      <c r="L230" s="6" t="s">
        <v>178</v>
      </c>
      <c r="M230" s="6">
        <v>36</v>
      </c>
      <c r="N230" s="6">
        <v>12</v>
      </c>
      <c r="O230" s="6">
        <v>2</v>
      </c>
      <c r="P230" s="6">
        <v>30</v>
      </c>
      <c r="Q230" s="6">
        <v>0</v>
      </c>
      <c r="R230" s="7">
        <v>0</v>
      </c>
    </row>
    <row r="231" spans="2:18" ht="16.5" thickTop="1" thickBot="1">
      <c r="B231" s="142"/>
      <c r="C231" s="5" t="s">
        <v>190</v>
      </c>
      <c r="D231" s="6">
        <v>90</v>
      </c>
      <c r="E231" s="6">
        <v>20</v>
      </c>
      <c r="F231" s="6">
        <v>0</v>
      </c>
      <c r="G231" s="6">
        <v>90</v>
      </c>
      <c r="H231" s="6">
        <v>24</v>
      </c>
      <c r="I231" s="6">
        <v>5</v>
      </c>
      <c r="J231" s="6" t="s">
        <v>184</v>
      </c>
      <c r="K231" s="6" t="s">
        <v>184</v>
      </c>
      <c r="L231" s="6" t="s">
        <v>178</v>
      </c>
      <c r="M231" s="6">
        <v>46</v>
      </c>
      <c r="N231" s="6">
        <v>17</v>
      </c>
      <c r="O231" s="6">
        <v>2</v>
      </c>
      <c r="P231" s="6">
        <v>0</v>
      </c>
      <c r="Q231" s="6">
        <v>0</v>
      </c>
      <c r="R231" s="7">
        <v>0</v>
      </c>
    </row>
    <row r="232" spans="2:18" ht="16.5" thickTop="1" thickBot="1">
      <c r="B232" s="142"/>
      <c r="C232" s="5" t="s">
        <v>191</v>
      </c>
      <c r="D232" s="6">
        <v>50</v>
      </c>
      <c r="E232" s="6">
        <v>10</v>
      </c>
      <c r="F232" s="6">
        <v>0</v>
      </c>
      <c r="G232" s="6">
        <v>80</v>
      </c>
      <c r="H232" s="6">
        <v>5</v>
      </c>
      <c r="I232" s="6">
        <v>5</v>
      </c>
      <c r="J232" s="6" t="s">
        <v>184</v>
      </c>
      <c r="K232" s="6" t="s">
        <v>184</v>
      </c>
      <c r="L232" s="6" t="s">
        <v>178</v>
      </c>
      <c r="M232" s="6">
        <v>57</v>
      </c>
      <c r="N232" s="6">
        <v>4</v>
      </c>
      <c r="O232" s="6">
        <v>4</v>
      </c>
      <c r="P232" s="6">
        <v>0</v>
      </c>
      <c r="Q232" s="6">
        <v>0</v>
      </c>
      <c r="R232" s="7">
        <v>0</v>
      </c>
    </row>
    <row r="233" spans="2:18" ht="16.5" thickTop="1" thickBot="1">
      <c r="B233" s="142"/>
      <c r="C233" s="5" t="s">
        <v>192</v>
      </c>
      <c r="D233" s="6">
        <v>85</v>
      </c>
      <c r="E233" s="6">
        <v>10</v>
      </c>
      <c r="F233" s="6">
        <v>0</v>
      </c>
      <c r="G233" s="6">
        <v>90</v>
      </c>
      <c r="H233" s="6">
        <v>5</v>
      </c>
      <c r="I233" s="6">
        <v>5</v>
      </c>
      <c r="J233" s="6" t="s">
        <v>184</v>
      </c>
      <c r="K233" s="6" t="s">
        <v>184</v>
      </c>
      <c r="L233" s="6" t="s">
        <v>178</v>
      </c>
      <c r="M233" s="6">
        <v>43</v>
      </c>
      <c r="N233" s="6">
        <v>4</v>
      </c>
      <c r="O233" s="6">
        <v>4</v>
      </c>
      <c r="P233" s="6">
        <v>0</v>
      </c>
      <c r="Q233" s="6">
        <v>0</v>
      </c>
      <c r="R233" s="7">
        <v>0</v>
      </c>
    </row>
    <row r="234" spans="2:18" ht="16.5" thickTop="1" thickBot="1">
      <c r="B234" s="142"/>
      <c r="C234" s="5" t="s">
        <v>193</v>
      </c>
      <c r="D234" s="6">
        <v>85</v>
      </c>
      <c r="E234" s="6">
        <v>10</v>
      </c>
      <c r="F234" s="6">
        <v>0</v>
      </c>
      <c r="G234" s="6">
        <v>90</v>
      </c>
      <c r="H234" s="6">
        <v>5</v>
      </c>
      <c r="I234" s="6">
        <v>5</v>
      </c>
      <c r="J234" s="6" t="s">
        <v>184</v>
      </c>
      <c r="K234" s="6" t="s">
        <v>184</v>
      </c>
      <c r="L234" s="6" t="s">
        <v>178</v>
      </c>
      <c r="M234" s="6">
        <v>38</v>
      </c>
      <c r="N234" s="6">
        <v>2</v>
      </c>
      <c r="O234" s="6">
        <v>2</v>
      </c>
      <c r="P234" s="6">
        <v>0</v>
      </c>
      <c r="Q234" s="6">
        <v>0</v>
      </c>
      <c r="R234" s="7">
        <v>0</v>
      </c>
    </row>
    <row r="235" spans="2:18" ht="16.5" thickTop="1" thickBot="1">
      <c r="B235" s="142"/>
      <c r="C235" s="5" t="s">
        <v>194</v>
      </c>
      <c r="D235" s="6">
        <v>85</v>
      </c>
      <c r="E235" s="6">
        <v>10</v>
      </c>
      <c r="F235" s="6">
        <v>0</v>
      </c>
      <c r="G235" s="6">
        <v>90</v>
      </c>
      <c r="H235" s="6">
        <v>5</v>
      </c>
      <c r="I235" s="6">
        <v>5</v>
      </c>
      <c r="J235" s="6" t="s">
        <v>184</v>
      </c>
      <c r="K235" s="6" t="s">
        <v>184</v>
      </c>
      <c r="L235" s="6" t="s">
        <v>178</v>
      </c>
      <c r="M235" s="6">
        <v>40</v>
      </c>
      <c r="N235" s="6">
        <v>2</v>
      </c>
      <c r="O235" s="6">
        <v>2</v>
      </c>
      <c r="P235" s="6">
        <v>40</v>
      </c>
      <c r="Q235" s="6">
        <v>0</v>
      </c>
      <c r="R235" s="7">
        <v>0</v>
      </c>
    </row>
    <row r="236" spans="2:18" ht="16.5" thickTop="1" thickBot="1">
      <c r="B236" s="142"/>
      <c r="C236" s="5" t="s">
        <v>195</v>
      </c>
      <c r="D236" s="6">
        <v>20</v>
      </c>
      <c r="E236" s="6">
        <v>0</v>
      </c>
      <c r="F236" s="6">
        <v>0</v>
      </c>
      <c r="G236" s="6">
        <v>90</v>
      </c>
      <c r="H236" s="6">
        <v>5</v>
      </c>
      <c r="I236" s="6">
        <v>5</v>
      </c>
      <c r="J236" s="6" t="s">
        <v>184</v>
      </c>
      <c r="K236" s="6" t="s">
        <v>178</v>
      </c>
      <c r="L236" s="6" t="s">
        <v>178</v>
      </c>
      <c r="M236" s="6">
        <v>30</v>
      </c>
      <c r="N236" s="6">
        <v>2</v>
      </c>
      <c r="O236" s="6">
        <v>2</v>
      </c>
      <c r="P236" s="6">
        <v>0</v>
      </c>
      <c r="Q236" s="6">
        <v>0</v>
      </c>
      <c r="R236" s="7">
        <v>0</v>
      </c>
    </row>
    <row r="237" spans="2:18" ht="16.5" thickTop="1" thickBot="1">
      <c r="B237" s="142"/>
      <c r="C237" s="5" t="s">
        <v>196</v>
      </c>
      <c r="D237" s="6">
        <v>0</v>
      </c>
      <c r="E237" s="6">
        <v>0</v>
      </c>
      <c r="F237" s="6">
        <v>0</v>
      </c>
      <c r="G237" s="6">
        <v>30</v>
      </c>
      <c r="H237" s="6">
        <v>5</v>
      </c>
      <c r="I237" s="6">
        <v>5</v>
      </c>
      <c r="J237" s="6" t="s">
        <v>178</v>
      </c>
      <c r="K237" s="6" t="s">
        <v>178</v>
      </c>
      <c r="L237" s="6" t="s">
        <v>178</v>
      </c>
      <c r="M237" s="6">
        <v>18</v>
      </c>
      <c r="N237" s="6">
        <v>2</v>
      </c>
      <c r="O237" s="6">
        <v>2</v>
      </c>
      <c r="P237" s="6">
        <v>0</v>
      </c>
      <c r="Q237" s="6">
        <v>0</v>
      </c>
      <c r="R237" s="7">
        <v>0</v>
      </c>
    </row>
    <row r="238" spans="2:18" ht="16.5" thickTop="1" thickBot="1">
      <c r="B238" s="142"/>
      <c r="C238" s="5" t="s">
        <v>197</v>
      </c>
      <c r="D238" s="6">
        <v>0</v>
      </c>
      <c r="E238" s="6">
        <v>0</v>
      </c>
      <c r="F238" s="6">
        <v>0</v>
      </c>
      <c r="G238" s="6">
        <v>5</v>
      </c>
      <c r="H238" s="6">
        <v>5</v>
      </c>
      <c r="I238" s="6">
        <v>5</v>
      </c>
      <c r="J238" s="6" t="s">
        <v>178</v>
      </c>
      <c r="K238" s="6" t="s">
        <v>178</v>
      </c>
      <c r="L238" s="6" t="s">
        <v>178</v>
      </c>
      <c r="M238" s="6">
        <v>3</v>
      </c>
      <c r="N238" s="6">
        <v>2</v>
      </c>
      <c r="O238" s="6">
        <v>2</v>
      </c>
      <c r="P238" s="6">
        <v>0</v>
      </c>
      <c r="Q238" s="6">
        <v>0</v>
      </c>
      <c r="R238" s="7">
        <v>0</v>
      </c>
    </row>
    <row r="239" spans="2:18" ht="16.5" thickTop="1" thickBot="1">
      <c r="B239" s="142"/>
      <c r="C239" s="5" t="s">
        <v>198</v>
      </c>
      <c r="D239" s="6">
        <v>0</v>
      </c>
      <c r="E239" s="6">
        <v>0</v>
      </c>
      <c r="F239" s="6">
        <v>0</v>
      </c>
      <c r="G239" s="6">
        <v>5</v>
      </c>
      <c r="H239" s="6">
        <v>5</v>
      </c>
      <c r="I239" s="6">
        <v>5</v>
      </c>
      <c r="J239" s="6" t="s">
        <v>178</v>
      </c>
      <c r="K239" s="6" t="s">
        <v>178</v>
      </c>
      <c r="L239" s="6" t="s">
        <v>178</v>
      </c>
      <c r="M239" s="6">
        <v>3</v>
      </c>
      <c r="N239" s="6">
        <v>2</v>
      </c>
      <c r="O239" s="6">
        <v>2</v>
      </c>
      <c r="P239" s="6">
        <v>0</v>
      </c>
      <c r="Q239" s="6">
        <v>0</v>
      </c>
      <c r="R239" s="7">
        <v>0</v>
      </c>
    </row>
    <row r="240" spans="2:18" ht="16.5" thickTop="1" thickBot="1">
      <c r="B240" s="142"/>
      <c r="C240" s="5" t="s">
        <v>199</v>
      </c>
      <c r="D240" s="6">
        <v>0</v>
      </c>
      <c r="E240" s="6">
        <v>0</v>
      </c>
      <c r="F240" s="6">
        <v>0</v>
      </c>
      <c r="G240" s="6">
        <v>5</v>
      </c>
      <c r="H240" s="6">
        <v>5</v>
      </c>
      <c r="I240" s="6">
        <v>5</v>
      </c>
      <c r="J240" s="6" t="s">
        <v>178</v>
      </c>
      <c r="K240" s="6" t="s">
        <v>178</v>
      </c>
      <c r="L240" s="6" t="s">
        <v>178</v>
      </c>
      <c r="M240" s="6">
        <v>3</v>
      </c>
      <c r="N240" s="6">
        <v>2</v>
      </c>
      <c r="O240" s="6">
        <v>2</v>
      </c>
      <c r="P240" s="6">
        <v>0</v>
      </c>
      <c r="Q240" s="6">
        <v>0</v>
      </c>
      <c r="R240" s="7">
        <v>0</v>
      </c>
    </row>
    <row r="241" spans="2:21" ht="16.5" thickTop="1" thickBot="1">
      <c r="B241" s="142"/>
      <c r="C241" s="5" t="s">
        <v>200</v>
      </c>
      <c r="D241" s="6">
        <v>0</v>
      </c>
      <c r="E241" s="6">
        <v>0</v>
      </c>
      <c r="F241" s="6">
        <v>0</v>
      </c>
      <c r="G241" s="6">
        <v>5</v>
      </c>
      <c r="H241" s="6">
        <v>5</v>
      </c>
      <c r="I241" s="6">
        <v>5</v>
      </c>
      <c r="J241" s="6" t="s">
        <v>178</v>
      </c>
      <c r="K241" s="6" t="s">
        <v>178</v>
      </c>
      <c r="L241" s="6" t="s">
        <v>178</v>
      </c>
      <c r="M241" s="6">
        <v>3</v>
      </c>
      <c r="N241" s="6">
        <v>2</v>
      </c>
      <c r="O241" s="6">
        <v>2</v>
      </c>
      <c r="P241" s="6">
        <v>0</v>
      </c>
      <c r="Q241" s="6">
        <v>0</v>
      </c>
      <c r="R241" s="7">
        <v>0</v>
      </c>
    </row>
    <row r="242" spans="2:21" ht="16.5" thickTop="1" thickBot="1">
      <c r="B242" s="142"/>
      <c r="C242" s="5" t="s">
        <v>201</v>
      </c>
      <c r="D242" s="6">
        <v>0</v>
      </c>
      <c r="E242" s="6">
        <v>0</v>
      </c>
      <c r="F242" s="6">
        <v>0</v>
      </c>
      <c r="G242" s="6">
        <v>5</v>
      </c>
      <c r="H242" s="6">
        <v>5</v>
      </c>
      <c r="I242" s="6">
        <v>5</v>
      </c>
      <c r="J242" s="6" t="s">
        <v>178</v>
      </c>
      <c r="K242" s="6" t="s">
        <v>178</v>
      </c>
      <c r="L242" s="6" t="s">
        <v>178</v>
      </c>
      <c r="M242" s="6">
        <v>3</v>
      </c>
      <c r="N242" s="6">
        <v>2</v>
      </c>
      <c r="O242" s="6">
        <v>2</v>
      </c>
      <c r="P242" s="6">
        <v>0</v>
      </c>
      <c r="Q242" s="6">
        <v>0</v>
      </c>
      <c r="R242" s="7">
        <v>0</v>
      </c>
    </row>
    <row r="243" spans="2:21" ht="16.5" thickTop="1" thickBot="1">
      <c r="B243" s="142"/>
      <c r="C243" s="8" t="s">
        <v>202</v>
      </c>
      <c r="D243" s="9">
        <v>0</v>
      </c>
      <c r="E243" s="9">
        <v>0</v>
      </c>
      <c r="F243" s="9">
        <v>0</v>
      </c>
      <c r="G243" s="9">
        <v>5</v>
      </c>
      <c r="H243" s="9">
        <v>5</v>
      </c>
      <c r="I243" s="9">
        <v>5</v>
      </c>
      <c r="J243" s="9" t="s">
        <v>178</v>
      </c>
      <c r="K243" s="9" t="s">
        <v>178</v>
      </c>
      <c r="L243" s="9" t="s">
        <v>178</v>
      </c>
      <c r="M243" s="9">
        <v>3</v>
      </c>
      <c r="N243" s="9">
        <v>2</v>
      </c>
      <c r="O243" s="9">
        <v>2</v>
      </c>
      <c r="P243" s="9">
        <v>0</v>
      </c>
      <c r="Q243" s="9">
        <v>0</v>
      </c>
      <c r="R243" s="10">
        <v>0</v>
      </c>
    </row>
    <row r="244" spans="2:21" ht="15.75" thickTop="1">
      <c r="B244" s="19"/>
      <c r="C244" s="20"/>
      <c r="D244" s="20"/>
      <c r="E244" s="20"/>
      <c r="F244" s="20"/>
      <c r="G244" s="20"/>
      <c r="H244" s="20"/>
      <c r="I244" s="20"/>
      <c r="J244" s="20"/>
      <c r="K244" s="20"/>
      <c r="L244" s="20"/>
      <c r="M244" s="20"/>
      <c r="N244" s="20"/>
      <c r="O244" s="20"/>
      <c r="P244" s="20"/>
      <c r="Q244" s="20"/>
      <c r="R244" s="20"/>
    </row>
    <row r="245" spans="2:21" ht="15.75" thickBot="1">
      <c r="B245" s="21"/>
      <c r="C245" s="22"/>
      <c r="D245" s="22"/>
      <c r="E245" s="22"/>
      <c r="F245" s="22"/>
      <c r="G245" s="22"/>
      <c r="H245" s="22"/>
      <c r="I245" s="22"/>
      <c r="J245" s="22"/>
      <c r="K245" s="22"/>
      <c r="L245" s="22"/>
      <c r="M245" s="22"/>
      <c r="N245" s="22"/>
      <c r="O245" s="22"/>
      <c r="P245" s="22"/>
      <c r="Q245" s="22"/>
      <c r="R245" s="22"/>
    </row>
    <row r="246" spans="2:21" ht="15.75" thickTop="1">
      <c r="B246" s="21"/>
      <c r="C246" s="143" t="s">
        <v>176</v>
      </c>
      <c r="D246" s="140" t="s">
        <v>203</v>
      </c>
      <c r="E246" s="140"/>
      <c r="F246" s="140"/>
      <c r="G246" s="140" t="s">
        <v>209</v>
      </c>
      <c r="H246" s="140"/>
      <c r="I246" s="140"/>
      <c r="J246" s="140" t="s">
        <v>207</v>
      </c>
      <c r="K246" s="140"/>
      <c r="L246" s="140"/>
      <c r="M246" s="140" t="s">
        <v>223</v>
      </c>
      <c r="N246" s="140"/>
      <c r="O246" s="140"/>
      <c r="P246" s="140" t="s">
        <v>224</v>
      </c>
      <c r="Q246" s="140"/>
      <c r="R246" s="140"/>
      <c r="S246" s="134" t="s">
        <v>225</v>
      </c>
      <c r="T246" s="135"/>
      <c r="U246" s="136"/>
    </row>
    <row r="247" spans="2:21">
      <c r="B247" s="21"/>
      <c r="C247" s="144"/>
      <c r="D247" s="141" t="s">
        <v>175</v>
      </c>
      <c r="E247" s="141"/>
      <c r="F247" s="141"/>
      <c r="G247" s="141" t="s">
        <v>175</v>
      </c>
      <c r="H247" s="141"/>
      <c r="I247" s="141"/>
      <c r="J247" s="141" t="s">
        <v>208</v>
      </c>
      <c r="K247" s="141"/>
      <c r="L247" s="141"/>
      <c r="M247" s="141" t="s">
        <v>175</v>
      </c>
      <c r="N247" s="141"/>
      <c r="O247" s="141"/>
      <c r="P247" s="141" t="s">
        <v>175</v>
      </c>
      <c r="Q247" s="141"/>
      <c r="R247" s="141"/>
      <c r="S247" s="137" t="s">
        <v>175</v>
      </c>
      <c r="T247" s="138"/>
      <c r="U247" s="139"/>
    </row>
    <row r="248" spans="2:21" ht="15.75" thickBot="1">
      <c r="B248" s="23"/>
      <c r="C248" s="145"/>
      <c r="D248" s="11" t="s">
        <v>204</v>
      </c>
      <c r="E248" s="11" t="s">
        <v>205</v>
      </c>
      <c r="F248" s="11" t="s">
        <v>206</v>
      </c>
      <c r="G248" s="11" t="s">
        <v>204</v>
      </c>
      <c r="H248" s="11" t="s">
        <v>205</v>
      </c>
      <c r="I248" s="11" t="s">
        <v>206</v>
      </c>
      <c r="J248" s="11" t="s">
        <v>204</v>
      </c>
      <c r="K248" s="11" t="s">
        <v>205</v>
      </c>
      <c r="L248" s="11" t="s">
        <v>206</v>
      </c>
      <c r="M248" s="11" t="s">
        <v>204</v>
      </c>
      <c r="N248" s="11" t="s">
        <v>205</v>
      </c>
      <c r="O248" s="11" t="s">
        <v>206</v>
      </c>
      <c r="P248" s="11" t="s">
        <v>204</v>
      </c>
      <c r="Q248" s="11" t="s">
        <v>205</v>
      </c>
      <c r="R248" s="11" t="s">
        <v>206</v>
      </c>
      <c r="S248" s="11" t="s">
        <v>204</v>
      </c>
      <c r="T248" s="11" t="s">
        <v>205</v>
      </c>
      <c r="U248" s="12" t="s">
        <v>206</v>
      </c>
    </row>
    <row r="249" spans="2:21" ht="16.5" thickTop="1" thickBot="1">
      <c r="B249" s="142" t="s">
        <v>222</v>
      </c>
      <c r="C249" s="2" t="s">
        <v>177</v>
      </c>
      <c r="D249" s="3">
        <v>5</v>
      </c>
      <c r="E249" s="3">
        <v>5</v>
      </c>
      <c r="F249" s="3">
        <v>5</v>
      </c>
      <c r="G249" s="3">
        <v>20</v>
      </c>
      <c r="H249" s="3">
        <v>10</v>
      </c>
      <c r="I249" s="3">
        <v>10</v>
      </c>
      <c r="J249" s="3" t="s">
        <v>184</v>
      </c>
      <c r="K249" s="3" t="s">
        <v>184</v>
      </c>
      <c r="L249" s="3" t="s">
        <v>184</v>
      </c>
      <c r="M249" s="3">
        <v>53</v>
      </c>
      <c r="N249" s="3">
        <v>53</v>
      </c>
      <c r="O249" s="3">
        <v>53</v>
      </c>
      <c r="P249" s="3">
        <v>20</v>
      </c>
      <c r="Q249" s="3">
        <v>20</v>
      </c>
      <c r="R249" s="3">
        <v>20</v>
      </c>
      <c r="S249" s="3">
        <v>100</v>
      </c>
      <c r="T249" s="3">
        <v>100</v>
      </c>
      <c r="U249" s="4">
        <v>100</v>
      </c>
    </row>
    <row r="250" spans="2:21" ht="16.5" thickTop="1" thickBot="1">
      <c r="B250" s="142"/>
      <c r="C250" s="5" t="s">
        <v>179</v>
      </c>
      <c r="D250" s="6">
        <v>5</v>
      </c>
      <c r="E250" s="6">
        <v>5</v>
      </c>
      <c r="F250" s="6">
        <v>5</v>
      </c>
      <c r="G250" s="6">
        <v>20</v>
      </c>
      <c r="H250" s="6">
        <v>10</v>
      </c>
      <c r="I250" s="6">
        <v>10</v>
      </c>
      <c r="J250" s="6" t="s">
        <v>184</v>
      </c>
      <c r="K250" s="6" t="s">
        <v>184</v>
      </c>
      <c r="L250" s="6" t="s">
        <v>184</v>
      </c>
      <c r="M250" s="6">
        <v>53</v>
      </c>
      <c r="N250" s="6">
        <v>53</v>
      </c>
      <c r="O250" s="6">
        <v>53</v>
      </c>
      <c r="P250" s="6">
        <v>20</v>
      </c>
      <c r="Q250" s="6">
        <v>20</v>
      </c>
      <c r="R250" s="6">
        <v>20</v>
      </c>
      <c r="S250" s="6">
        <v>100</v>
      </c>
      <c r="T250" s="6">
        <v>100</v>
      </c>
      <c r="U250" s="7">
        <v>100</v>
      </c>
    </row>
    <row r="251" spans="2:21" ht="16.5" thickTop="1" thickBot="1">
      <c r="B251" s="142"/>
      <c r="C251" s="5" t="s">
        <v>180</v>
      </c>
      <c r="D251" s="6">
        <v>5</v>
      </c>
      <c r="E251" s="6">
        <v>5</v>
      </c>
      <c r="F251" s="6">
        <v>5</v>
      </c>
      <c r="G251" s="6">
        <v>20</v>
      </c>
      <c r="H251" s="6">
        <v>10</v>
      </c>
      <c r="I251" s="6">
        <v>10</v>
      </c>
      <c r="J251" s="6" t="s">
        <v>184</v>
      </c>
      <c r="K251" s="6" t="s">
        <v>184</v>
      </c>
      <c r="L251" s="6" t="s">
        <v>184</v>
      </c>
      <c r="M251" s="6">
        <v>53</v>
      </c>
      <c r="N251" s="6">
        <v>53</v>
      </c>
      <c r="O251" s="6">
        <v>53</v>
      </c>
      <c r="P251" s="6">
        <v>20</v>
      </c>
      <c r="Q251" s="6">
        <v>20</v>
      </c>
      <c r="R251" s="6">
        <v>20</v>
      </c>
      <c r="S251" s="6">
        <v>100</v>
      </c>
      <c r="T251" s="6">
        <v>100</v>
      </c>
      <c r="U251" s="7">
        <v>100</v>
      </c>
    </row>
    <row r="252" spans="2:21" ht="16.5" thickTop="1" thickBot="1">
      <c r="B252" s="142"/>
      <c r="C252" s="5" t="s">
        <v>181</v>
      </c>
      <c r="D252" s="6">
        <v>5</v>
      </c>
      <c r="E252" s="6">
        <v>5</v>
      </c>
      <c r="F252" s="6">
        <v>5</v>
      </c>
      <c r="G252" s="6">
        <v>20</v>
      </c>
      <c r="H252" s="6">
        <v>10</v>
      </c>
      <c r="I252" s="6">
        <v>10</v>
      </c>
      <c r="J252" s="6" t="s">
        <v>184</v>
      </c>
      <c r="K252" s="6" t="s">
        <v>184</v>
      </c>
      <c r="L252" s="6" t="s">
        <v>184</v>
      </c>
      <c r="M252" s="6">
        <v>53</v>
      </c>
      <c r="N252" s="6">
        <v>53</v>
      </c>
      <c r="O252" s="6">
        <v>53</v>
      </c>
      <c r="P252" s="6">
        <v>20</v>
      </c>
      <c r="Q252" s="6">
        <v>20</v>
      </c>
      <c r="R252" s="6">
        <v>20</v>
      </c>
      <c r="S252" s="6">
        <v>100</v>
      </c>
      <c r="T252" s="6">
        <v>100</v>
      </c>
      <c r="U252" s="7">
        <v>100</v>
      </c>
    </row>
    <row r="253" spans="2:21" ht="16.5" thickTop="1" thickBot="1">
      <c r="B253" s="142"/>
      <c r="C253" s="5" t="s">
        <v>182</v>
      </c>
      <c r="D253" s="6">
        <v>5</v>
      </c>
      <c r="E253" s="6">
        <v>5</v>
      </c>
      <c r="F253" s="6">
        <v>5</v>
      </c>
      <c r="G253" s="6">
        <v>20</v>
      </c>
      <c r="H253" s="6">
        <v>10</v>
      </c>
      <c r="I253" s="6">
        <v>10</v>
      </c>
      <c r="J253" s="6" t="s">
        <v>184</v>
      </c>
      <c r="K253" s="6" t="s">
        <v>184</v>
      </c>
      <c r="L253" s="6" t="s">
        <v>184</v>
      </c>
      <c r="M253" s="6">
        <v>53</v>
      </c>
      <c r="N253" s="6">
        <v>53</v>
      </c>
      <c r="O253" s="6">
        <v>53</v>
      </c>
      <c r="P253" s="6">
        <v>20</v>
      </c>
      <c r="Q253" s="6">
        <v>20</v>
      </c>
      <c r="R253" s="6">
        <v>20</v>
      </c>
      <c r="S253" s="6">
        <v>100</v>
      </c>
      <c r="T253" s="6">
        <v>100</v>
      </c>
      <c r="U253" s="7">
        <v>100</v>
      </c>
    </row>
    <row r="254" spans="2:21" ht="16.5" thickTop="1" thickBot="1">
      <c r="B254" s="142"/>
      <c r="C254" s="5" t="s">
        <v>183</v>
      </c>
      <c r="D254" s="6">
        <v>5</v>
      </c>
      <c r="E254" s="6">
        <v>5</v>
      </c>
      <c r="F254" s="6">
        <v>5</v>
      </c>
      <c r="G254" s="6">
        <v>20</v>
      </c>
      <c r="H254" s="6">
        <v>10</v>
      </c>
      <c r="I254" s="6">
        <v>10</v>
      </c>
      <c r="J254" s="6" t="s">
        <v>184</v>
      </c>
      <c r="K254" s="6" t="s">
        <v>184</v>
      </c>
      <c r="L254" s="6" t="s">
        <v>184</v>
      </c>
      <c r="M254" s="6">
        <v>53</v>
      </c>
      <c r="N254" s="6">
        <v>53</v>
      </c>
      <c r="O254" s="6">
        <v>53</v>
      </c>
      <c r="P254" s="6">
        <v>20</v>
      </c>
      <c r="Q254" s="6">
        <v>20</v>
      </c>
      <c r="R254" s="6">
        <v>20</v>
      </c>
      <c r="S254" s="6">
        <v>100</v>
      </c>
      <c r="T254" s="6">
        <v>100</v>
      </c>
      <c r="U254" s="7">
        <v>100</v>
      </c>
    </row>
    <row r="255" spans="2:21" ht="16.5" thickTop="1" thickBot="1">
      <c r="B255" s="142"/>
      <c r="C255" s="5" t="s">
        <v>185</v>
      </c>
      <c r="D255" s="6">
        <v>5</v>
      </c>
      <c r="E255" s="6">
        <v>5</v>
      </c>
      <c r="F255" s="6">
        <v>5</v>
      </c>
      <c r="G255" s="6">
        <v>30</v>
      </c>
      <c r="H255" s="6">
        <v>10</v>
      </c>
      <c r="I255" s="6">
        <v>10</v>
      </c>
      <c r="J255" s="6" t="s">
        <v>184</v>
      </c>
      <c r="K255" s="6" t="s">
        <v>184</v>
      </c>
      <c r="L255" s="6" t="s">
        <v>184</v>
      </c>
      <c r="M255" s="6">
        <v>53</v>
      </c>
      <c r="N255" s="6">
        <v>53</v>
      </c>
      <c r="O255" s="6">
        <v>53</v>
      </c>
      <c r="P255" s="6">
        <v>20</v>
      </c>
      <c r="Q255" s="6">
        <v>30</v>
      </c>
      <c r="R255" s="6">
        <v>30</v>
      </c>
      <c r="S255" s="6">
        <v>100</v>
      </c>
      <c r="T255" s="6">
        <v>100</v>
      </c>
      <c r="U255" s="7">
        <v>100</v>
      </c>
    </row>
    <row r="256" spans="2:21" ht="16.5" thickTop="1" thickBot="1">
      <c r="B256" s="142"/>
      <c r="C256" s="5" t="s">
        <v>186</v>
      </c>
      <c r="D256" s="6">
        <v>10</v>
      </c>
      <c r="E256" s="6">
        <v>10</v>
      </c>
      <c r="F256" s="6">
        <v>10</v>
      </c>
      <c r="G256" s="6">
        <v>50</v>
      </c>
      <c r="H256" s="6">
        <v>10</v>
      </c>
      <c r="I256" s="6">
        <v>10</v>
      </c>
      <c r="J256" s="6" t="s">
        <v>184</v>
      </c>
      <c r="K256" s="6" t="s">
        <v>184</v>
      </c>
      <c r="L256" s="6" t="s">
        <v>184</v>
      </c>
      <c r="M256" s="6">
        <v>55</v>
      </c>
      <c r="N256" s="6">
        <v>55</v>
      </c>
      <c r="O256" s="6">
        <v>55</v>
      </c>
      <c r="P256" s="6">
        <v>30</v>
      </c>
      <c r="Q256" s="6">
        <v>30</v>
      </c>
      <c r="R256" s="6">
        <v>30</v>
      </c>
      <c r="S256" s="6">
        <v>100</v>
      </c>
      <c r="T256" s="6">
        <v>100</v>
      </c>
      <c r="U256" s="7">
        <v>100</v>
      </c>
    </row>
    <row r="257" spans="2:21" ht="16.5" thickTop="1" thickBot="1">
      <c r="B257" s="142"/>
      <c r="C257" s="5" t="s">
        <v>187</v>
      </c>
      <c r="D257" s="6">
        <v>20</v>
      </c>
      <c r="E257" s="6">
        <v>10</v>
      </c>
      <c r="F257" s="6">
        <v>10</v>
      </c>
      <c r="G257" s="6">
        <v>90</v>
      </c>
      <c r="H257" s="6">
        <v>40</v>
      </c>
      <c r="I257" s="6">
        <v>40</v>
      </c>
      <c r="J257" s="6" t="s">
        <v>184</v>
      </c>
      <c r="K257" s="6" t="s">
        <v>184</v>
      </c>
      <c r="L257" s="6" t="s">
        <v>184</v>
      </c>
      <c r="M257" s="6">
        <v>60</v>
      </c>
      <c r="N257" s="6">
        <v>55</v>
      </c>
      <c r="O257" s="6">
        <v>55</v>
      </c>
      <c r="P257" s="6">
        <v>40</v>
      </c>
      <c r="Q257" s="6">
        <v>40</v>
      </c>
      <c r="R257" s="6">
        <v>40</v>
      </c>
      <c r="S257" s="6">
        <v>100</v>
      </c>
      <c r="T257" s="6">
        <v>100</v>
      </c>
      <c r="U257" s="7">
        <v>100</v>
      </c>
    </row>
    <row r="258" spans="2:21" ht="16.5" thickTop="1" thickBot="1">
      <c r="B258" s="142"/>
      <c r="C258" s="5" t="s">
        <v>188</v>
      </c>
      <c r="D258" s="6">
        <v>90</v>
      </c>
      <c r="E258" s="6">
        <v>30</v>
      </c>
      <c r="F258" s="6">
        <v>30</v>
      </c>
      <c r="G258" s="6">
        <v>90</v>
      </c>
      <c r="H258" s="6">
        <v>40</v>
      </c>
      <c r="I258" s="6">
        <v>40</v>
      </c>
      <c r="J258" s="6" t="s">
        <v>184</v>
      </c>
      <c r="K258" s="6" t="s">
        <v>184</v>
      </c>
      <c r="L258" s="6" t="s">
        <v>184</v>
      </c>
      <c r="M258" s="6">
        <v>98</v>
      </c>
      <c r="N258" s="6">
        <v>65</v>
      </c>
      <c r="O258" s="6">
        <v>65</v>
      </c>
      <c r="P258" s="6">
        <v>50</v>
      </c>
      <c r="Q258" s="6">
        <v>40</v>
      </c>
      <c r="R258" s="6">
        <v>40</v>
      </c>
      <c r="S258" s="6">
        <v>100</v>
      </c>
      <c r="T258" s="6">
        <v>100</v>
      </c>
      <c r="U258" s="7">
        <v>100</v>
      </c>
    </row>
    <row r="259" spans="2:21" ht="16.5" thickTop="1" thickBot="1">
      <c r="B259" s="142"/>
      <c r="C259" s="5" t="s">
        <v>189</v>
      </c>
      <c r="D259" s="6">
        <v>90</v>
      </c>
      <c r="E259" s="6">
        <v>30</v>
      </c>
      <c r="F259" s="6">
        <v>30</v>
      </c>
      <c r="G259" s="6">
        <v>90</v>
      </c>
      <c r="H259" s="6">
        <v>40</v>
      </c>
      <c r="I259" s="6">
        <v>40</v>
      </c>
      <c r="J259" s="6" t="s">
        <v>184</v>
      </c>
      <c r="K259" s="6" t="s">
        <v>184</v>
      </c>
      <c r="L259" s="6" t="s">
        <v>184</v>
      </c>
      <c r="M259" s="6">
        <v>98</v>
      </c>
      <c r="N259" s="6">
        <v>65</v>
      </c>
      <c r="O259" s="6">
        <v>65</v>
      </c>
      <c r="P259" s="6">
        <v>50</v>
      </c>
      <c r="Q259" s="6">
        <v>40</v>
      </c>
      <c r="R259" s="6">
        <v>40</v>
      </c>
      <c r="S259" s="6">
        <v>100</v>
      </c>
      <c r="T259" s="6">
        <v>100</v>
      </c>
      <c r="U259" s="7">
        <v>100</v>
      </c>
    </row>
    <row r="260" spans="2:21" ht="16.5" thickTop="1" thickBot="1">
      <c r="B260" s="142"/>
      <c r="C260" s="5" t="s">
        <v>190</v>
      </c>
      <c r="D260" s="6">
        <v>45</v>
      </c>
      <c r="E260" s="6">
        <v>30</v>
      </c>
      <c r="F260" s="6">
        <v>30</v>
      </c>
      <c r="G260" s="6">
        <v>90</v>
      </c>
      <c r="H260" s="6">
        <v>40</v>
      </c>
      <c r="I260" s="6">
        <v>40</v>
      </c>
      <c r="J260" s="6" t="s">
        <v>184</v>
      </c>
      <c r="K260" s="6" t="s">
        <v>184</v>
      </c>
      <c r="L260" s="6" t="s">
        <v>184</v>
      </c>
      <c r="M260" s="6">
        <v>98</v>
      </c>
      <c r="N260" s="6">
        <v>65</v>
      </c>
      <c r="O260" s="6">
        <v>65</v>
      </c>
      <c r="P260" s="6">
        <v>50</v>
      </c>
      <c r="Q260" s="6">
        <v>40</v>
      </c>
      <c r="R260" s="6">
        <v>40</v>
      </c>
      <c r="S260" s="6">
        <v>100</v>
      </c>
      <c r="T260" s="6">
        <v>100</v>
      </c>
      <c r="U260" s="7">
        <v>100</v>
      </c>
    </row>
    <row r="261" spans="2:21" ht="16.5" thickTop="1" thickBot="1">
      <c r="B261" s="142"/>
      <c r="C261" s="5" t="s">
        <v>191</v>
      </c>
      <c r="D261" s="6">
        <v>45</v>
      </c>
      <c r="E261" s="6">
        <v>30</v>
      </c>
      <c r="F261" s="6">
        <v>30</v>
      </c>
      <c r="G261" s="6">
        <v>80</v>
      </c>
      <c r="H261" s="6">
        <v>20</v>
      </c>
      <c r="I261" s="6">
        <v>20</v>
      </c>
      <c r="J261" s="6" t="s">
        <v>184</v>
      </c>
      <c r="K261" s="6" t="s">
        <v>184</v>
      </c>
      <c r="L261" s="6" t="s">
        <v>184</v>
      </c>
      <c r="M261" s="6">
        <v>73</v>
      </c>
      <c r="N261" s="6">
        <v>65</v>
      </c>
      <c r="O261" s="6">
        <v>65</v>
      </c>
      <c r="P261" s="6">
        <v>40</v>
      </c>
      <c r="Q261" s="6">
        <v>30</v>
      </c>
      <c r="R261" s="6">
        <v>30</v>
      </c>
      <c r="S261" s="6">
        <v>100</v>
      </c>
      <c r="T261" s="6">
        <v>100</v>
      </c>
      <c r="U261" s="7">
        <v>100</v>
      </c>
    </row>
    <row r="262" spans="2:21" ht="16.5" thickTop="1" thickBot="1">
      <c r="B262" s="142"/>
      <c r="C262" s="5" t="s">
        <v>192</v>
      </c>
      <c r="D262" s="6">
        <v>90</v>
      </c>
      <c r="E262" s="6">
        <v>10</v>
      </c>
      <c r="F262" s="6">
        <v>10</v>
      </c>
      <c r="G262" s="6">
        <v>90</v>
      </c>
      <c r="H262" s="6">
        <v>20</v>
      </c>
      <c r="I262" s="6">
        <v>20</v>
      </c>
      <c r="J262" s="6" t="s">
        <v>184</v>
      </c>
      <c r="K262" s="6" t="s">
        <v>184</v>
      </c>
      <c r="L262" s="6" t="s">
        <v>184</v>
      </c>
      <c r="M262" s="6">
        <v>98</v>
      </c>
      <c r="N262" s="6">
        <v>55</v>
      </c>
      <c r="O262" s="6">
        <v>55</v>
      </c>
      <c r="P262" s="6">
        <v>50</v>
      </c>
      <c r="Q262" s="6">
        <v>30</v>
      </c>
      <c r="R262" s="6">
        <v>30</v>
      </c>
      <c r="S262" s="6">
        <v>100</v>
      </c>
      <c r="T262" s="6">
        <v>100</v>
      </c>
      <c r="U262" s="7">
        <v>100</v>
      </c>
    </row>
    <row r="263" spans="2:21" ht="16.5" thickTop="1" thickBot="1">
      <c r="B263" s="142"/>
      <c r="C263" s="5" t="s">
        <v>193</v>
      </c>
      <c r="D263" s="6">
        <v>90</v>
      </c>
      <c r="E263" s="6">
        <v>10</v>
      </c>
      <c r="F263" s="6">
        <v>10</v>
      </c>
      <c r="G263" s="6">
        <v>90</v>
      </c>
      <c r="H263" s="6">
        <v>20</v>
      </c>
      <c r="I263" s="6">
        <v>20</v>
      </c>
      <c r="J263" s="6" t="s">
        <v>184</v>
      </c>
      <c r="K263" s="6" t="s">
        <v>184</v>
      </c>
      <c r="L263" s="6" t="s">
        <v>184</v>
      </c>
      <c r="M263" s="6">
        <v>98</v>
      </c>
      <c r="N263" s="6">
        <v>55</v>
      </c>
      <c r="O263" s="6">
        <v>55</v>
      </c>
      <c r="P263" s="6">
        <v>50</v>
      </c>
      <c r="Q263" s="6">
        <v>30</v>
      </c>
      <c r="R263" s="6">
        <v>30</v>
      </c>
      <c r="S263" s="6">
        <v>100</v>
      </c>
      <c r="T263" s="6">
        <v>100</v>
      </c>
      <c r="U263" s="7">
        <v>100</v>
      </c>
    </row>
    <row r="264" spans="2:21" ht="16.5" thickTop="1" thickBot="1">
      <c r="B264" s="142"/>
      <c r="C264" s="5" t="s">
        <v>194</v>
      </c>
      <c r="D264" s="6">
        <v>90</v>
      </c>
      <c r="E264" s="6">
        <v>10</v>
      </c>
      <c r="F264" s="6">
        <v>10</v>
      </c>
      <c r="G264" s="6">
        <v>90</v>
      </c>
      <c r="H264" s="6">
        <v>20</v>
      </c>
      <c r="I264" s="6">
        <v>20</v>
      </c>
      <c r="J264" s="6" t="s">
        <v>184</v>
      </c>
      <c r="K264" s="6" t="s">
        <v>184</v>
      </c>
      <c r="L264" s="6" t="s">
        <v>184</v>
      </c>
      <c r="M264" s="6">
        <v>98</v>
      </c>
      <c r="N264" s="6">
        <v>55</v>
      </c>
      <c r="O264" s="6">
        <v>55</v>
      </c>
      <c r="P264" s="6">
        <v>50</v>
      </c>
      <c r="Q264" s="6">
        <v>30</v>
      </c>
      <c r="R264" s="6">
        <v>30</v>
      </c>
      <c r="S264" s="6">
        <v>100</v>
      </c>
      <c r="T264" s="6">
        <v>100</v>
      </c>
      <c r="U264" s="7">
        <v>100</v>
      </c>
    </row>
    <row r="265" spans="2:21" ht="16.5" thickTop="1" thickBot="1">
      <c r="B265" s="142"/>
      <c r="C265" s="5" t="s">
        <v>195</v>
      </c>
      <c r="D265" s="6">
        <v>90</v>
      </c>
      <c r="E265" s="6">
        <v>10</v>
      </c>
      <c r="F265" s="6">
        <v>10</v>
      </c>
      <c r="G265" s="6">
        <v>90</v>
      </c>
      <c r="H265" s="6">
        <v>20</v>
      </c>
      <c r="I265" s="6">
        <v>20</v>
      </c>
      <c r="J265" s="6" t="s">
        <v>184</v>
      </c>
      <c r="K265" s="6" t="s">
        <v>184</v>
      </c>
      <c r="L265" s="6" t="s">
        <v>184</v>
      </c>
      <c r="M265" s="6">
        <v>98</v>
      </c>
      <c r="N265" s="6">
        <v>55</v>
      </c>
      <c r="O265" s="6">
        <v>55</v>
      </c>
      <c r="P265" s="6">
        <v>50</v>
      </c>
      <c r="Q265" s="6">
        <v>30</v>
      </c>
      <c r="R265" s="6">
        <v>30</v>
      </c>
      <c r="S265" s="6">
        <v>100</v>
      </c>
      <c r="T265" s="6">
        <v>100</v>
      </c>
      <c r="U265" s="7">
        <v>100</v>
      </c>
    </row>
    <row r="266" spans="2:21" ht="16.5" thickTop="1" thickBot="1">
      <c r="B266" s="142"/>
      <c r="C266" s="5" t="s">
        <v>196</v>
      </c>
      <c r="D266" s="6">
        <v>90</v>
      </c>
      <c r="E266" s="6">
        <v>10</v>
      </c>
      <c r="F266" s="6">
        <v>10</v>
      </c>
      <c r="G266" s="6">
        <v>90</v>
      </c>
      <c r="H266" s="6">
        <v>10</v>
      </c>
      <c r="I266" s="6">
        <v>10</v>
      </c>
      <c r="J266" s="6" t="s">
        <v>184</v>
      </c>
      <c r="K266" s="6" t="s">
        <v>184</v>
      </c>
      <c r="L266" s="6" t="s">
        <v>184</v>
      </c>
      <c r="M266" s="6">
        <v>65</v>
      </c>
      <c r="N266" s="6">
        <v>55</v>
      </c>
      <c r="O266" s="6">
        <v>55</v>
      </c>
      <c r="P266" s="6">
        <v>40</v>
      </c>
      <c r="Q266" s="6">
        <v>20</v>
      </c>
      <c r="R266" s="6">
        <v>20</v>
      </c>
      <c r="S266" s="6">
        <v>100</v>
      </c>
      <c r="T266" s="6">
        <v>100</v>
      </c>
      <c r="U266" s="7">
        <v>100</v>
      </c>
    </row>
    <row r="267" spans="2:21" ht="16.5" thickTop="1" thickBot="1">
      <c r="B267" s="142"/>
      <c r="C267" s="5" t="s">
        <v>197</v>
      </c>
      <c r="D267" s="6">
        <v>30</v>
      </c>
      <c r="E267" s="6">
        <v>5</v>
      </c>
      <c r="F267" s="6">
        <v>5</v>
      </c>
      <c r="G267" s="6">
        <v>50</v>
      </c>
      <c r="H267" s="6">
        <v>10</v>
      </c>
      <c r="I267" s="6">
        <v>10</v>
      </c>
      <c r="J267" s="6" t="s">
        <v>184</v>
      </c>
      <c r="K267" s="6" t="s">
        <v>184</v>
      </c>
      <c r="L267" s="6" t="s">
        <v>184</v>
      </c>
      <c r="M267" s="6">
        <v>55</v>
      </c>
      <c r="N267" s="6">
        <v>53</v>
      </c>
      <c r="O267" s="6">
        <v>53</v>
      </c>
      <c r="P267" s="6">
        <v>30</v>
      </c>
      <c r="Q267" s="6">
        <v>20</v>
      </c>
      <c r="R267" s="6">
        <v>20</v>
      </c>
      <c r="S267" s="6">
        <v>100</v>
      </c>
      <c r="T267" s="6">
        <v>100</v>
      </c>
      <c r="U267" s="7">
        <v>100</v>
      </c>
    </row>
    <row r="268" spans="2:21" ht="16.5" thickTop="1" thickBot="1">
      <c r="B268" s="142"/>
      <c r="C268" s="5" t="s">
        <v>198</v>
      </c>
      <c r="D268" s="6">
        <v>10</v>
      </c>
      <c r="E268" s="6">
        <v>5</v>
      </c>
      <c r="F268" s="6">
        <v>5</v>
      </c>
      <c r="G268" s="6">
        <v>50</v>
      </c>
      <c r="H268" s="6">
        <v>10</v>
      </c>
      <c r="I268" s="6">
        <v>10</v>
      </c>
      <c r="J268" s="6" t="s">
        <v>184</v>
      </c>
      <c r="K268" s="6" t="s">
        <v>184</v>
      </c>
      <c r="L268" s="6" t="s">
        <v>184</v>
      </c>
      <c r="M268" s="6">
        <v>55</v>
      </c>
      <c r="N268" s="6">
        <v>53</v>
      </c>
      <c r="O268" s="6">
        <v>53</v>
      </c>
      <c r="P268" s="6">
        <v>30</v>
      </c>
      <c r="Q268" s="6">
        <v>20</v>
      </c>
      <c r="R268" s="6">
        <v>20</v>
      </c>
      <c r="S268" s="6">
        <v>100</v>
      </c>
      <c r="T268" s="6">
        <v>100</v>
      </c>
      <c r="U268" s="7">
        <v>100</v>
      </c>
    </row>
    <row r="269" spans="2:21" ht="16.5" thickTop="1" thickBot="1">
      <c r="B269" s="142"/>
      <c r="C269" s="5" t="s">
        <v>199</v>
      </c>
      <c r="D269" s="6">
        <v>10</v>
      </c>
      <c r="E269" s="6">
        <v>5</v>
      </c>
      <c r="F269" s="6">
        <v>5</v>
      </c>
      <c r="G269" s="6">
        <v>30</v>
      </c>
      <c r="H269" s="6">
        <v>10</v>
      </c>
      <c r="I269" s="6">
        <v>10</v>
      </c>
      <c r="J269" s="6" t="s">
        <v>184</v>
      </c>
      <c r="K269" s="6" t="s">
        <v>184</v>
      </c>
      <c r="L269" s="6" t="s">
        <v>184</v>
      </c>
      <c r="M269" s="6">
        <v>53</v>
      </c>
      <c r="N269" s="6">
        <v>53</v>
      </c>
      <c r="O269" s="6">
        <v>53</v>
      </c>
      <c r="P269" s="6">
        <v>20</v>
      </c>
      <c r="Q269" s="6">
        <v>20</v>
      </c>
      <c r="R269" s="6">
        <v>20</v>
      </c>
      <c r="S269" s="6">
        <v>100</v>
      </c>
      <c r="T269" s="6">
        <v>100</v>
      </c>
      <c r="U269" s="7">
        <v>100</v>
      </c>
    </row>
    <row r="270" spans="2:21" ht="16.5" thickTop="1" thickBot="1">
      <c r="B270" s="142"/>
      <c r="C270" s="5" t="s">
        <v>200</v>
      </c>
      <c r="D270" s="6">
        <v>10</v>
      </c>
      <c r="E270" s="6">
        <v>5</v>
      </c>
      <c r="F270" s="6">
        <v>5</v>
      </c>
      <c r="G270" s="6">
        <v>30</v>
      </c>
      <c r="H270" s="6">
        <v>10</v>
      </c>
      <c r="I270" s="6">
        <v>10</v>
      </c>
      <c r="J270" s="6" t="s">
        <v>184</v>
      </c>
      <c r="K270" s="6" t="s">
        <v>184</v>
      </c>
      <c r="L270" s="6" t="s">
        <v>184</v>
      </c>
      <c r="M270" s="6">
        <v>53</v>
      </c>
      <c r="N270" s="6">
        <v>53</v>
      </c>
      <c r="O270" s="6">
        <v>53</v>
      </c>
      <c r="P270" s="6">
        <v>20</v>
      </c>
      <c r="Q270" s="6">
        <v>20</v>
      </c>
      <c r="R270" s="6">
        <v>20</v>
      </c>
      <c r="S270" s="6">
        <v>100</v>
      </c>
      <c r="T270" s="6">
        <v>100</v>
      </c>
      <c r="U270" s="7">
        <v>100</v>
      </c>
    </row>
    <row r="271" spans="2:21" ht="16.5" thickTop="1" thickBot="1">
      <c r="B271" s="142"/>
      <c r="C271" s="5" t="s">
        <v>201</v>
      </c>
      <c r="D271" s="6">
        <v>5</v>
      </c>
      <c r="E271" s="6">
        <v>5</v>
      </c>
      <c r="F271" s="6">
        <v>5</v>
      </c>
      <c r="G271" s="6">
        <v>20</v>
      </c>
      <c r="H271" s="6">
        <v>10</v>
      </c>
      <c r="I271" s="6">
        <v>10</v>
      </c>
      <c r="J271" s="6" t="s">
        <v>184</v>
      </c>
      <c r="K271" s="6" t="s">
        <v>184</v>
      </c>
      <c r="L271" s="6" t="s">
        <v>184</v>
      </c>
      <c r="M271" s="6">
        <v>53</v>
      </c>
      <c r="N271" s="6">
        <v>53</v>
      </c>
      <c r="O271" s="6">
        <v>53</v>
      </c>
      <c r="P271" s="6">
        <v>20</v>
      </c>
      <c r="Q271" s="6">
        <v>20</v>
      </c>
      <c r="R271" s="6">
        <v>20</v>
      </c>
      <c r="S271" s="6">
        <v>100</v>
      </c>
      <c r="T271" s="6">
        <v>100</v>
      </c>
      <c r="U271" s="7">
        <v>100</v>
      </c>
    </row>
    <row r="272" spans="2:21" ht="16.5" thickTop="1" thickBot="1">
      <c r="B272" s="142"/>
      <c r="C272" s="8" t="s">
        <v>202</v>
      </c>
      <c r="D272" s="9">
        <v>5</v>
      </c>
      <c r="E272" s="9">
        <v>5</v>
      </c>
      <c r="F272" s="9">
        <v>5</v>
      </c>
      <c r="G272" s="9">
        <v>20</v>
      </c>
      <c r="H272" s="9">
        <v>10</v>
      </c>
      <c r="I272" s="9">
        <v>10</v>
      </c>
      <c r="J272" s="9" t="s">
        <v>184</v>
      </c>
      <c r="K272" s="9" t="s">
        <v>184</v>
      </c>
      <c r="L272" s="9" t="s">
        <v>184</v>
      </c>
      <c r="M272" s="9">
        <v>53</v>
      </c>
      <c r="N272" s="9">
        <v>53</v>
      </c>
      <c r="O272" s="9">
        <v>53</v>
      </c>
      <c r="P272" s="9">
        <v>20</v>
      </c>
      <c r="Q272" s="9">
        <v>20</v>
      </c>
      <c r="R272" s="9">
        <v>20</v>
      </c>
      <c r="S272" s="9">
        <v>100</v>
      </c>
      <c r="T272" s="9">
        <v>100</v>
      </c>
      <c r="U272" s="10">
        <v>100</v>
      </c>
    </row>
    <row r="273" ht="15.75" thickTop="1"/>
  </sheetData>
  <sheetProtection password="C5C5" sheet="1" objects="1" scenarios="1"/>
  <mergeCells count="35">
    <mergeCell ref="P1:R1"/>
    <mergeCell ref="P2:R2"/>
    <mergeCell ref="G1:I1"/>
    <mergeCell ref="G2:I2"/>
    <mergeCell ref="J1:L1"/>
    <mergeCell ref="J2:L2"/>
    <mergeCell ref="M1:O1"/>
    <mergeCell ref="M2:O2"/>
    <mergeCell ref="D247:F247"/>
    <mergeCell ref="B4:B27"/>
    <mergeCell ref="B28:B51"/>
    <mergeCell ref="D1:F1"/>
    <mergeCell ref="D2:F2"/>
    <mergeCell ref="D246:F246"/>
    <mergeCell ref="B52:B75"/>
    <mergeCell ref="B76:B99"/>
    <mergeCell ref="B100:B123"/>
    <mergeCell ref="B124:B147"/>
    <mergeCell ref="B148:B171"/>
    <mergeCell ref="B172:B195"/>
    <mergeCell ref="B196:B219"/>
    <mergeCell ref="B220:B243"/>
    <mergeCell ref="B249:B272"/>
    <mergeCell ref="C1:C3"/>
    <mergeCell ref="C246:C248"/>
    <mergeCell ref="S246:U246"/>
    <mergeCell ref="S247:U247"/>
    <mergeCell ref="M246:O246"/>
    <mergeCell ref="M247:O247"/>
    <mergeCell ref="G246:I246"/>
    <mergeCell ref="J246:L246"/>
    <mergeCell ref="P246:R246"/>
    <mergeCell ref="G247:I247"/>
    <mergeCell ref="J247:L247"/>
    <mergeCell ref="P247:R247"/>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H7"/>
  <sheetViews>
    <sheetView workbookViewId="0">
      <selection activeCell="C2" sqref="C2:C7"/>
    </sheetView>
  </sheetViews>
  <sheetFormatPr baseColWidth="10" defaultRowHeight="15"/>
  <sheetData>
    <row r="1" spans="1:8">
      <c r="B1" t="s">
        <v>393</v>
      </c>
      <c r="C1" t="s">
        <v>394</v>
      </c>
      <c r="D1" t="s">
        <v>395</v>
      </c>
      <c r="E1" t="s">
        <v>396</v>
      </c>
      <c r="F1" t="s">
        <v>397</v>
      </c>
      <c r="G1" t="s">
        <v>398</v>
      </c>
      <c r="H1" t="s">
        <v>399</v>
      </c>
    </row>
    <row r="2" spans="1:8">
      <c r="A2" t="s">
        <v>400</v>
      </c>
      <c r="B2" t="s">
        <v>401</v>
      </c>
      <c r="C2">
        <v>0.35</v>
      </c>
      <c r="D2" t="s">
        <v>402</v>
      </c>
      <c r="E2" t="s">
        <v>361</v>
      </c>
    </row>
    <row r="3" spans="1:8">
      <c r="A3" t="s">
        <v>403</v>
      </c>
      <c r="B3" t="s">
        <v>401</v>
      </c>
      <c r="C3">
        <v>0.56000000000000005</v>
      </c>
      <c r="D3" s="148">
        <v>41922</v>
      </c>
      <c r="E3" t="s">
        <v>361</v>
      </c>
    </row>
    <row r="4" spans="1:8">
      <c r="A4" t="s">
        <v>404</v>
      </c>
      <c r="B4" t="s">
        <v>401</v>
      </c>
      <c r="C4">
        <v>0.55000000000000004</v>
      </c>
      <c r="D4" s="148">
        <v>41922</v>
      </c>
      <c r="E4" t="s">
        <v>361</v>
      </c>
    </row>
    <row r="5" spans="1:8">
      <c r="A5" t="s">
        <v>405</v>
      </c>
      <c r="B5" t="s">
        <v>401</v>
      </c>
      <c r="C5">
        <v>0.56000000000000005</v>
      </c>
      <c r="D5" s="148">
        <v>41922</v>
      </c>
      <c r="E5" t="s">
        <v>361</v>
      </c>
    </row>
    <row r="6" spans="1:8">
      <c r="A6" t="s">
        <v>406</v>
      </c>
      <c r="B6" t="s">
        <v>401</v>
      </c>
      <c r="C6">
        <v>0.56000000000000005</v>
      </c>
      <c r="D6" s="148">
        <v>41922</v>
      </c>
      <c r="E6" t="s">
        <v>361</v>
      </c>
    </row>
    <row r="7" spans="1:8">
      <c r="A7" t="s">
        <v>407</v>
      </c>
      <c r="B7" t="s">
        <v>401</v>
      </c>
      <c r="C7">
        <v>0.45</v>
      </c>
      <c r="D7" s="148">
        <v>41922</v>
      </c>
      <c r="E7" t="s">
        <v>361</v>
      </c>
    </row>
  </sheetData>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showGridLines="0" showRowColHeaders="0" workbookViewId="0">
      <selection activeCell="S12" sqref="S12"/>
    </sheetView>
  </sheetViews>
  <sheetFormatPr baseColWidth="10" defaultRowHeight="15"/>
  <cols>
    <col min="1" max="256" width="9.140625" customWidth="1"/>
  </cols>
  <sheetData/>
  <sheetProtection password="AE01" sheet="1" objects="1" scenarios="1" selectLockedCells="1" selectUnlockedCells="1"/>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8</vt:i4>
      </vt:variant>
      <vt:variant>
        <vt:lpstr>Benannte Bereiche</vt:lpstr>
      </vt:variant>
      <vt:variant>
        <vt:i4>36</vt:i4>
      </vt:variant>
    </vt:vector>
  </HeadingPairs>
  <TitlesOfParts>
    <vt:vector size="44" baseType="lpstr">
      <vt:lpstr>Proposed Fan Power &amp; EER</vt:lpstr>
      <vt:lpstr>Notes</vt:lpstr>
      <vt:lpstr>Fan Worksheet</vt:lpstr>
      <vt:lpstr>Baseline Fan Power &amp; EER</vt:lpstr>
      <vt:lpstr>Lookup Tables</vt:lpstr>
      <vt:lpstr>Schedule Lookup</vt:lpstr>
      <vt:lpstr>Tabelle1</vt:lpstr>
      <vt:lpstr>License</vt:lpstr>
      <vt:lpstr>ACelec_EER</vt:lpstr>
      <vt:lpstr>ACfossil_EER</vt:lpstr>
      <vt:lpstr>ARIExternalStatic</vt:lpstr>
      <vt:lpstr>AssemblySchedule</vt:lpstr>
      <vt:lpstr>BaseSysBldgTypes</vt:lpstr>
      <vt:lpstr>BaseSystemDatabase</vt:lpstr>
      <vt:lpstr>BOOLEAN</vt:lpstr>
      <vt:lpstr>BuildingTypeData</vt:lpstr>
      <vt:lpstr>BuildingTypes</vt:lpstr>
      <vt:lpstr>DaysOfWeek</vt:lpstr>
      <vt:lpstr>DHWTypes</vt:lpstr>
      <vt:lpstr>'Fan Worksheet'!Druckbereich</vt:lpstr>
      <vt:lpstr>FixtureUnits</vt:lpstr>
      <vt:lpstr>HealthSchedule</vt:lpstr>
      <vt:lpstr>HeatingType</vt:lpstr>
      <vt:lpstr>HotelSchedule</vt:lpstr>
      <vt:lpstr>HP_Eff</vt:lpstr>
      <vt:lpstr>kW_btuh</vt:lpstr>
      <vt:lpstr>LaboratorySchedule</vt:lpstr>
      <vt:lpstr>LightManufacturingSchedule</vt:lpstr>
      <vt:lpstr>m3h_cfm</vt:lpstr>
      <vt:lpstr>m3s_m3h</vt:lpstr>
      <vt:lpstr>MotorHpEff</vt:lpstr>
      <vt:lpstr>OfficeSchedule</vt:lpstr>
      <vt:lpstr>ParkingGarageSchedule</vt:lpstr>
      <vt:lpstr>PDALookup</vt:lpstr>
      <vt:lpstr>PropSystemDatabase</vt:lpstr>
      <vt:lpstr>RestaurantSchedule</vt:lpstr>
      <vt:lpstr>RetailSchedule</vt:lpstr>
      <vt:lpstr>SchoolSchedule</vt:lpstr>
      <vt:lpstr>SpaceLookup</vt:lpstr>
      <vt:lpstr>SpaceTypes</vt:lpstr>
      <vt:lpstr>SystemTypes</vt:lpstr>
      <vt:lpstr>WarehouseSchedule</vt:lpstr>
      <vt:lpstr>wg_kPa</vt:lpstr>
      <vt:lpstr>wg_Pa</vt:lpstr>
    </vt:vector>
  </TitlesOfParts>
  <Company>Rocky Mountain Institute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Aaron Buys</dc:creator>
  <cp:lastModifiedBy>iC - JONES Marcus Benjamin</cp:lastModifiedBy>
  <cp:lastPrinted>2013-07-18T07:18:42Z</cp:lastPrinted>
  <dcterms:created xsi:type="dcterms:W3CDTF">2010-04-13T20:23:19Z</dcterms:created>
  <dcterms:modified xsi:type="dcterms:W3CDTF">2014-03-07T15:00:47Z</dcterms:modified>
</cp:coreProperties>
</file>